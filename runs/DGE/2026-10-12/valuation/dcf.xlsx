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 ex-EABL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Terminal-year capex % of sales</t>
        </is>
      </c>
      <c r="B7" s="2" t="n">
        <v>0.06211688111691262</v>
      </c>
      <c r="C7" t="inlineStr">
        <is>
          <t>PM rule: return on new investment 13.4% (value driver formula, briefs/DGE.yaml)</t>
        </is>
      </c>
    </row>
    <row r="8">
      <c r="A8" t="inlineStr">
        <is>
          <t>Net working capital % of sales</t>
        </is>
      </c>
      <c r="B8" s="2" t="n">
        <v>0.37576</v>
      </c>
      <c r="C8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9">
      <c r="A9" t="inlineStr">
        <is>
          <t>Savings flow-through</t>
        </is>
      </c>
      <c r="B9" s="2" t="n">
        <v>0.46</v>
      </c>
      <c r="C9" t="inlineStr">
        <is>
          <t>PM assumption (briefs/DGE.yaml)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(briefs/DGE.yaml)</t>
        </is>
      </c>
    </row>
    <row r="12">
      <c r="A12" t="inlineStr">
        <is>
          <t>Beta</t>
        </is>
      </c>
      <c r="B12" s="2" t="n">
        <v>0.9601</v>
      </c>
      <c r="C12" t="inlineStr">
        <is>
          <t>Risk agent, bottom-up: Damodaran global alcoholic beverages unlevered beta 0.73 (Jan 2026, cash-corrected) relevered at Diageo D/E 0.416, tax 24.3%. See risk/beta_evidence.json</t>
        </is>
      </c>
    </row>
    <row r="13">
      <c r="A13" t="inlineStr">
        <is>
          <t>Pre-tax cost of debt</t>
        </is>
      </c>
      <c r="B13" s="2" t="n">
        <v>0.06220000000000001</v>
      </c>
      <c r="C13" t="inlineStr">
        <is>
          <t>risk-free 5.22% + credit spread 1.00% (PM rule, briefs)</t>
        </is>
      </c>
    </row>
    <row r="14">
      <c r="A14" t="inlineStr">
        <is>
          <t>Debt weight D/(D+E)</t>
        </is>
      </c>
      <c r="B14" s="2" t="n">
        <v>0.29395</v>
      </c>
      <c r="C14" t="inlineStr">
        <is>
          <t>net debt 20,482 / (net debt + market cap 49,196 = 2,222m shares x 1673p x 1.3234 USD/GBP)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(briefs/DGE.yaml)</t>
        </is>
      </c>
    </row>
    <row r="16">
      <c r="A16" t="inlineStr">
        <is>
          <t>Fraction of FY27 elapsed, used in discounting (0 = valued at 30 June)</t>
        </is>
      </c>
      <c r="B16" s="2" t="n">
        <v>0</v>
      </c>
      <c r="C16" t="inlineStr">
        <is>
          <t>103 days of FY27 (from 1 Jul 2026) elapsed at run date 2026-10-12 / 365</t>
        </is>
      </c>
    </row>
    <row r="17">
      <c r="A17" t="inlineStr">
        <is>
          <t>Years from 30 June to valuation date (equity roll-forward)</t>
        </is>
      </c>
      <c r="B17" s="2" t="n">
        <v>0.2822</v>
      </c>
      <c r="C17" t="inlineStr">
        <is>
          <t>103 days of FY27 (from 1 Jul 2026) elapsed at run date 2026-10-12 / 365</t>
        </is>
      </c>
    </row>
    <row r="18">
      <c r="A18" t="inlineStr">
        <is>
          <t>Dividends gone ex before valuation date (USD m)</t>
        </is>
      </c>
      <c r="B18" s="2" t="n">
        <v>0</v>
      </c>
      <c r="C18" t="inlineStr">
        <is>
          <t>Diageo Form 20-F FY26 (SEC accession 0001628280-26-057529): FY26 final dividend 30c, ex-dividend 15 October 2026 (ordinary shares), AFTER the 12 Oct 2026 valuation date, so the 1,673p price is cum-dividend and nothing is deducted. No other dividend went ex between 30 June and 12 Oct 2026.</t>
        </is>
      </c>
    </row>
    <row r="19">
      <c r="A19" t="inlineStr">
        <is>
          <t>Net debt (USD m)</t>
        </is>
      </c>
      <c r="B19" s="2" t="n">
        <v>20482</v>
      </c>
      <c r="C19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20">
      <c r="A20" t="inlineStr">
        <is>
          <t>Lease liabilities not in net debt (USD m)</t>
        </is>
      </c>
      <c r="B20" s="2" t="n">
        <v>0</v>
      </c>
      <c r="C20" t="inlineStr">
        <is>
          <t>0 because the 685 of lease liabilities is already inside net borrowings (20-F note 17 p.187)</t>
        </is>
      </c>
    </row>
    <row r="21">
      <c r="A21" t="inlineStr">
        <is>
          <t>Minority interests at book (USD m)</t>
        </is>
      </c>
      <c r="B21" s="2" t="n">
        <v>2083</v>
      </c>
      <c r="C21" t="inlineStr">
        <is>
          <t>Diageo Form 20-F FY26 (SEC accession 0001628280-26-057529, filed 2026-08-18) balance sheet, non-controlling interests at book value (USL 755, other 1,328: p.189)</t>
        </is>
      </c>
    </row>
    <row r="22">
      <c r="A22" t="inlineStr">
        <is>
          <t>Minorities' share of operating profit (proportionate method; blank = use book)</t>
        </is>
      </c>
      <c r="B22" s="2" t="n">
        <v>0.02566</v>
      </c>
      <c r="C22" t="inlineStr">
        <is>
          <t>Proportionate minorities (brief: minorities_method). (Profit before exceptional operating items attributable to non-controlling interests 227, Diageo Form 20-F FY26 (SEC accession 0001628280-26-057529) p.210 ROIC table, less EABL's 35% outside shareholders x EABL EBIT 250.2 (Diageo Kenya owns 65% of EABL, 20-F p.164; EBIT as in base_margin) = 139.4) / (operating profit before exceptionals 5,683 - EABL 250.2 = 5,432.8). Simplification: assumes EABL's minorities share EABL's EBIT pro rata.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4">
      <c r="A24" t="inlineStr">
        <is>
          <t>Associates incl. Moet Hennessy (USD m)</t>
        </is>
      </c>
      <c r="B24" s="2" t="n">
        <v>5284</v>
      </c>
      <c r="C24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5">
      <c r="A25" t="inlineStr">
        <is>
          <t>Disposal proceeds not in net debt (USD m)</t>
        </is>
      </c>
      <c r="B25" s="2" t="n">
        <v>3318.3</v>
      </c>
      <c r="C25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6">
      <c r="A26" t="inlineStr">
        <is>
          <t>Restructuring cash still to pay (USD m)</t>
        </is>
      </c>
      <c r="B26" s="2" t="n">
        <v>850</v>
      </c>
      <c r="C26" t="inlineStr">
        <is>
          <t>Diageo Capital Markets Day 6-K, 6 Aug 2026 (SEC accession 0001654954-26-007324): c.$800m exceptional cash costs for the operating framework + c.$50m for supply chain in FY27; FY27-29 cumulative free cash flow c.$8bn after c.$850m exceptional cash costs (also 20-F FY26 CEO letter). Pre-tax, undiscounted: any tax relief (up to c.$207m at 24.3%) is not confirmed, so not counted. Not in net debt at 30 June 2026; the forecast is before exceptionals.</t>
        </is>
      </c>
    </row>
    <row r="27">
      <c r="A27" t="inlineStr">
        <is>
          <t>Ordinary shares (m)</t>
        </is>
      </c>
      <c r="B27" s="2" t="n">
        <v>2222</v>
      </c>
      <c r="C27" t="inlineStr">
        <is>
          <t>Diageo Form 20-F FY26 (SEC accession 0001628280-26-057529, filed 2026-08-18) p.188 and XBRL: 2,432m issued - 208m treasury - 2m employee trusts (ordinary shares, NOT ADRs)</t>
        </is>
      </c>
    </row>
    <row r="28">
      <c r="A28" t="inlineStr">
        <is>
          <t>USD per GBP</t>
        </is>
      </c>
      <c r="B28" s="2" t="n">
        <v>1.3234</v>
      </c>
      <c r="C28" t="inlineStr">
        <is>
          <t>FRED DEXUSUK (USD per GBP, noon buying rate New York), 2026-10-02</t>
        </is>
      </c>
    </row>
    <row r="29">
      <c r="A29" t="inlineStr">
        <is>
          <t>Share price (pence)</t>
        </is>
      </c>
      <c r="B29" s="2" t="n">
        <v>1673</v>
      </c>
      <c r="C29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20425.14652985625</v>
      </c>
    </row>
    <row r="4">
      <c r="A4" t="inlineStr">
        <is>
          <t>Savings kept</t>
        </is>
      </c>
      <c r="C4" s="4">
        <f>377.5*Inputs!$B$9</f>
        <v/>
      </c>
      <c r="D4" s="4">
        <f>962.5*Inputs!$B$9</f>
        <v/>
      </c>
      <c r="E4" s="4">
        <f>1000.0*Inputs!$B$9</f>
        <v/>
      </c>
      <c r="F4" s="4">
        <f>1000.0*Inputs!$B$9</f>
        <v/>
      </c>
      <c r="G4" s="4">
        <f>1000.0*Inputs!$B$9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6456.414518235197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3902.30975406807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1-Inputs!$B$16</f>
        <v/>
      </c>
      <c r="D13" s="5">
        <f>2-Inputs!$B$16</f>
        <v/>
      </c>
      <c r="E13" s="5">
        <f>3-Inputs!$B$16</f>
        <v/>
      </c>
      <c r="F13" s="5">
        <f>4-Inputs!$B$16</f>
        <v/>
      </c>
      <c r="G13" s="5">
        <f>5-Inputs!$B$16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2600.116287717255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0.100205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0.04708540000000001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0.08459049358000001</v>
      </c>
    </row>
    <row r="20">
      <c r="A20" t="inlineStr">
        <is>
          <t>Sum of PV of FCF</t>
        </is>
      </c>
      <c r="B20" s="4">
        <f>SUM(C15:G15)</f>
        <v/>
      </c>
      <c r="C20" s="4" t="n">
        <v>14697.21172715634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4241.187860422046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65662.7256636308</v>
      </c>
    </row>
    <row r="23">
      <c r="A23" t="inlineStr">
        <is>
          <t>PV of terminal value</t>
        </is>
      </c>
      <c r="B23" s="4">
        <f>B22/(1+WACC)^(5-Inputs!$B$16)</f>
        <v/>
      </c>
      <c r="C23" s="4" t="n">
        <v>43751.19692021715</v>
      </c>
    </row>
    <row r="24">
      <c r="A24" t="inlineStr">
        <is>
          <t>Enterprise value</t>
        </is>
      </c>
      <c r="B24" s="4">
        <f>B20+B23</f>
        <v/>
      </c>
      <c r="C24" s="4" t="n">
        <v>58448.40864737349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1499.786165891604</v>
      </c>
    </row>
    <row r="26">
      <c r="A26" t="inlineStr">
        <is>
          <t>Equity value at balance sheet date</t>
        </is>
      </c>
      <c r="B26" s="4">
        <f>B24-Inputs!$B$19-Inputs!$B$20-B25-Inputs!$B$23-Inputs!$B$26+Inputs!$B$24+Inputs!$B$25</f>
        <v/>
      </c>
      <c r="C26" s="4" t="n">
        <v>44218.92248148189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45426.78584121197</v>
      </c>
    </row>
    <row r="28">
      <c r="A28" t="inlineStr">
        <is>
          <t>Value per share (USD)</t>
        </is>
      </c>
      <c r="B28" s="4">
        <f>B27/Inputs!$B$27</f>
        <v/>
      </c>
      <c r="C28" s="4" t="n">
        <v>20.44409803834922</v>
      </c>
    </row>
    <row r="29">
      <c r="A29" t="inlineStr">
        <is>
          <t>Value per share (pence)</t>
        </is>
      </c>
      <c r="B29" s="4">
        <f>B28/Inputs!$B$28*100</f>
        <v/>
      </c>
      <c r="C29" s="4" t="n">
        <v>1544.816233818137</v>
      </c>
    </row>
    <row r="30">
      <c r="A30" t="inlineStr">
        <is>
          <t>Upside vs share price</t>
        </is>
      </c>
      <c r="B30" s="6">
        <f>B29/Inputs!$B$29-1</f>
        <v/>
      </c>
      <c r="C30" s="6" t="n">
        <v>-0.0766191071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2026-10-13T09:03:33Z</dcterms:created>
  <dcterms:modified xmlns:dcterms="http://purl.org/dc/terms/" xmlns:xsi="http://www.w3.org/2001/XMLSchema-instance" xsi:type="dcterms:W3CDTF">2026-10-13T09:03:33Z</dcterms:modified>
</cp:coreProperties>
</file>