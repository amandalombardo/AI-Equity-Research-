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 ex-EABL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Net working capital % of sales</t>
        </is>
      </c>
      <c r="B7" s="2" t="n">
        <v>0.37576</v>
      </c>
      <c r="C7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8">
      <c r="A8" t="inlineStr">
        <is>
          <t>Savings flow-through</t>
        </is>
      </c>
      <c r="B8" s="2" t="n">
        <v>0.5</v>
      </c>
      <c r="C8" t="inlineStr">
        <is>
          <t>PM assumption (briefs/DGE.yaml)</t>
        </is>
      </c>
    </row>
    <row r="9">
      <c r="A9" t="inlineStr">
        <is>
          <t>Risk-free rate (US 10y)</t>
        </is>
      </c>
      <c r="B9" s="2" t="n">
        <v>0.0522</v>
      </c>
      <c r="C9" t="inlineStr">
        <is>
          <t>FRED DGS10 (US 10-year Treasury, constant maturity), 2026-10-08</t>
        </is>
      </c>
    </row>
    <row r="10">
      <c r="A10" t="inlineStr">
        <is>
          <t>Equity risk premium</t>
        </is>
      </c>
      <c r="B10" s="2" t="n">
        <v>0.05</v>
      </c>
      <c r="C10" t="inlineStr">
        <is>
          <t>PM assumption (briefs/DGE.yaml)</t>
        </is>
      </c>
    </row>
    <row r="11">
      <c r="A11" t="inlineStr">
        <is>
          <t>Beta</t>
        </is>
      </c>
      <c r="B11" s="2" t="n">
        <v>0.475</v>
      </c>
      <c r="C11" t="inlineStr">
        <is>
          <t>Risk agent: peer median 5y monthly beta (Pernod, Remy, Campari, Brown-Forman vs home indices). DGE's own 5y monthly vs FTSE 100 = 0.37, R2=0.04, n=60, rejected as unreliable</t>
        </is>
      </c>
    </row>
    <row r="12">
      <c r="A12" t="inlineStr">
        <is>
          <t>Pre-tax cost of debt</t>
        </is>
      </c>
      <c r="B12" s="2" t="n">
        <v>0.06220000000000001</v>
      </c>
      <c r="C12" t="inlineStr">
        <is>
          <t>risk-free 5.22% + credit spread 1.00% (PM rule, briefs)</t>
        </is>
      </c>
    </row>
    <row r="13">
      <c r="A13" t="inlineStr">
        <is>
          <t>Debt weight D/(D+E)</t>
        </is>
      </c>
      <c r="B13" s="2" t="n">
        <v>0.29395</v>
      </c>
      <c r="C13" t="inlineStr">
        <is>
          <t>net debt 20,482 / (net debt + market cap 49,196 = 2,222m shares x 1673p x 1.3234 USD/GBP)</t>
        </is>
      </c>
    </row>
    <row r="14">
      <c r="A14" t="inlineStr">
        <is>
          <t>Terminal growth</t>
        </is>
      </c>
      <c r="B14" s="2" t="n">
        <v>0.02</v>
      </c>
      <c r="C14" t="inlineStr">
        <is>
          <t>PM assumption (briefs/DGE.yaml)</t>
        </is>
      </c>
    </row>
    <row r="15">
      <c r="A15" t="inlineStr">
        <is>
          <t>Fraction of FY27 elapsed at valuation date</t>
        </is>
      </c>
      <c r="B15" s="2" t="n">
        <v>0.2822</v>
      </c>
      <c r="C15" t="inlineStr">
        <is>
          <t>103 days of FY27 (from 1 Jul 2026) elapsed at run date 2026-10-12 / 365</t>
        </is>
      </c>
    </row>
    <row r="16">
      <c r="A16" t="inlineStr">
        <is>
          <t>Net debt (USD m)</t>
        </is>
      </c>
      <c r="B16" s="2" t="n">
        <v>20482</v>
      </c>
      <c r="C16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17">
      <c r="A17" t="inlineStr">
        <is>
          <t>Lease liabilities not in net debt (USD m)</t>
        </is>
      </c>
      <c r="B17" s="2" t="n">
        <v>0</v>
      </c>
      <c r="C17" t="inlineStr">
        <is>
          <t>0 because the 685 of lease liabilities is already inside net borrowings (20-F note 17 p.187)</t>
        </is>
      </c>
    </row>
    <row r="18">
      <c r="A18" t="inlineStr">
        <is>
          <t>Minority interests (USD m)</t>
        </is>
      </c>
      <c r="B18" s="2" t="n">
        <v>2083</v>
      </c>
      <c r="C18" t="inlineStr">
        <is>
          <t>Diageo Form 20-F FY26 (SEC accession 0001628280-26-057529, filed 2026-08-18) balance sheet, non-controlling interests at book value (USL 755, other 1,328: p.189)</t>
        </is>
      </c>
    </row>
    <row r="19">
      <c r="A19" t="inlineStr">
        <is>
          <t>Pension deficit (USD m)</t>
        </is>
      </c>
      <c r="B19" s="2" t="n">
        <v>0</v>
      </c>
      <c r="C19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0">
      <c r="A20" t="inlineStr">
        <is>
          <t>Associates incl. Moet Hennessy (USD m)</t>
        </is>
      </c>
      <c r="B20" s="2" t="n">
        <v>5284</v>
      </c>
      <c r="C20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1">
      <c r="A21" t="inlineStr">
        <is>
          <t>Disposal proceeds not in net debt (USD m)</t>
        </is>
      </c>
      <c r="B21" s="2" t="n">
        <v>3318.3</v>
      </c>
      <c r="C21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2">
      <c r="A22" t="inlineStr">
        <is>
          <t>Ordinary shares (m)</t>
        </is>
      </c>
      <c r="B22" s="2" t="n">
        <v>2222</v>
      </c>
      <c r="C22" t="inlineStr">
        <is>
          <t>Diageo Form 20-F FY26 (SEC accession 0001628280-26-057529, filed 2026-08-18) p.188 and XBRL: 2,432m issued - 208m treasury - 2m employee trusts (ordinary shares, NOT ADRs)</t>
        </is>
      </c>
    </row>
    <row r="23">
      <c r="A23" t="inlineStr">
        <is>
          <t>USD per GBP</t>
        </is>
      </c>
      <c r="B23" s="2" t="n">
        <v>1.3234</v>
      </c>
      <c r="C23" t="inlineStr">
        <is>
          <t>FRED DEXUSUK (USD per GBP, noon buying rate New York), 2026-10-02</t>
        </is>
      </c>
    </row>
    <row r="24">
      <c r="A24" t="inlineStr">
        <is>
          <t>Share price (pence)</t>
        </is>
      </c>
      <c r="B24" s="2" t="n">
        <v>1673</v>
      </c>
      <c r="C24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20425.14652985625</v>
      </c>
    </row>
    <row r="4">
      <c r="A4" t="inlineStr">
        <is>
          <t>Savings kept</t>
        </is>
      </c>
      <c r="C4" s="4">
        <f>377.5*Inputs!$B$8</f>
        <v/>
      </c>
      <c r="D4" s="4">
        <f>962.5*Inputs!$B$8</f>
        <v/>
      </c>
      <c r="E4" s="4">
        <f>1000.0*Inputs!$B$8</f>
        <v/>
      </c>
      <c r="F4" s="4">
        <f>1000.0*Inputs!$B$8</f>
        <v/>
      </c>
      <c r="G4" s="4">
        <f>1000.0*Inputs!$B$8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6496.414518235197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(C3-B3)*Inputs!$B$7</f>
        <v/>
      </c>
      <c r="D10" s="4">
        <f>(D3-C3)*Inputs!$B$7</f>
        <v/>
      </c>
      <c r="E10" s="4">
        <f>(E3-D3)*Inputs!$B$7</f>
        <v/>
      </c>
      <c r="F10" s="4">
        <f>(F3-E3)*Inputs!$B$7</f>
        <v/>
      </c>
      <c r="G10" s="4">
        <f>(G3-F3)*Inputs!$B$7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3932.589754068069</v>
      </c>
    </row>
    <row r="12">
      <c r="A12" t="inlineStr">
        <is>
          <t>Cash flow counted</t>
        </is>
      </c>
      <c r="C12" s="4">
        <f>C11*(1-Inputs!$B$15)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1-Inputs!$B$15</f>
        <v/>
      </c>
      <c r="D13" s="5">
        <f>2-Inputs!$B$15</f>
        <v/>
      </c>
      <c r="E13" s="5">
        <f>3-Inputs!$B$15</f>
        <v/>
      </c>
      <c r="F13" s="5">
        <f>4-Inputs!$B$15</f>
        <v/>
      </c>
      <c r="G13" s="5">
        <f>5-Inputs!$B$15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2890.0898107331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Inputs!$B$9+Inputs!$B$11*Inputs!$B$10</f>
        <v/>
      </c>
      <c r="C17" s="6" t="n">
        <v>0.07595</v>
      </c>
    </row>
    <row r="18">
      <c r="A18" t="inlineStr">
        <is>
          <t>After-tax cost of debt</t>
        </is>
      </c>
      <c r="B18" s="6">
        <f>Inputs!$B$12*(1-Inputs!$B$4)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(1-Inputs!$B$13)*B17+Inputs!$B$13*B18</f>
        <v/>
      </c>
      <c r="C19" s="6" t="n">
        <v>0.06746525083</v>
      </c>
    </row>
    <row r="20">
      <c r="A20" t="inlineStr">
        <is>
          <t>Sum of PV of FCF</t>
        </is>
      </c>
      <c r="B20" s="4">
        <f>SUM(C15:G15)</f>
        <v/>
      </c>
      <c r="C20" s="4" t="n">
        <v>14824.93257153591</v>
      </c>
    </row>
    <row r="21">
      <c r="A21" t="inlineStr">
        <is>
          <t>Terminal value (Gordon growth)</t>
        </is>
      </c>
      <c r="B21" s="4">
        <f>G11*(1+Inputs!$B$14)/(WACC-Inputs!$B$14)</f>
        <v/>
      </c>
      <c r="C21" s="4" t="n">
        <v>84509.01404726508</v>
      </c>
    </row>
    <row r="22">
      <c r="A22" t="inlineStr">
        <is>
          <t>PV of terminal value</t>
        </is>
      </c>
      <c r="B22" s="4">
        <f>B21/(1+WACC)^(5-Inputs!$B$15)</f>
        <v/>
      </c>
      <c r="C22" s="4" t="n">
        <v>62106.3105197913</v>
      </c>
    </row>
    <row r="23">
      <c r="A23" t="inlineStr">
        <is>
          <t>Enterprise value</t>
        </is>
      </c>
      <c r="B23" s="4">
        <f>B20+B22</f>
        <v/>
      </c>
      <c r="C23" s="4" t="n">
        <v>76931.24309132721</v>
      </c>
    </row>
    <row r="24">
      <c r="A24" t="inlineStr">
        <is>
          <t>Equity value</t>
        </is>
      </c>
      <c r="B24" s="4">
        <f>B23-Inputs!$B$16-Inputs!$B$17-Inputs!$B$18-Inputs!$B$19+Inputs!$B$20+Inputs!$B$21</f>
        <v/>
      </c>
      <c r="C24" s="4" t="n">
        <v>62968.54309132721</v>
      </c>
    </row>
    <row r="25">
      <c r="A25" t="inlineStr">
        <is>
          <t>Value per share (USD)</t>
        </is>
      </c>
      <c r="B25" s="4">
        <f>B24/Inputs!$B$22</f>
        <v/>
      </c>
      <c r="C25" s="4" t="n">
        <v>28.33867825892314</v>
      </c>
    </row>
    <row r="26">
      <c r="A26" t="inlineStr">
        <is>
          <t>Value per share (pence)</t>
        </is>
      </c>
      <c r="B26" s="4">
        <f>B25/Inputs!$B$23*100</f>
        <v/>
      </c>
      <c r="C26" s="4" t="n">
        <v>2141.353956394374</v>
      </c>
    </row>
    <row r="27">
      <c r="A27" t="inlineStr">
        <is>
          <t>Upside vs share price</t>
        </is>
      </c>
      <c r="B27" s="6">
        <f>B26/Inputs!$B$24-1</f>
        <v/>
      </c>
      <c r="C27" s="6" t="n">
        <v>0.2799485693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2026-10-12T18:34:56Z</dcterms:created>
  <dcterms:modified xmlns:dcterms="http://purl.org/dc/terms/" xmlns:xsi="http://www.w3.org/2001/XMLSchema-instance" xsi:type="dcterms:W3CDTF">2026-10-12T18:34:56Z</dcterms:modified>
</cp:coreProperties>
</file>