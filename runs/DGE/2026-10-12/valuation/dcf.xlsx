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 ex-EABL (USD m)</t>
        </is>
      </c>
      <c r="B2" s="2" t="n">
        <v>18505.5</v>
      </c>
      <c r="C2" t="inlineStr">
        <is>
          <t>Diageo Form 20-F FY26 (SEC accession 0001628280-26-057529, filed 2026-08-18) net sales 19,643 less EABL FY26 net revenue KES 145.96bn / 128.32 KES per USD = 1137.5 (EABL: non-filing source, press reports of EABL FY26 results 6 Aug 2026; FX: Yahoo KES=X FY26 average)</t>
        </is>
      </c>
    </row>
    <row r="3">
      <c r="A3" t="inlineStr">
        <is>
          <t>Base operating margin before exceptionals</t>
        </is>
      </c>
      <c r="B3" s="2" t="n">
        <v>0.29358</v>
      </c>
      <c r="C3" t="inlineStr">
        <is>
          <t>(Diageo Form 20-F FY26 (SEC accession 0001628280-26-057529, filed 2026-08-18) operating profit before exceptionals 5,683 less EABL EBIT KES 32.1bn / 128.32 = 250.2) / ex-EABL net sales</t>
        </is>
      </c>
    </row>
    <row r="4">
      <c r="A4" t="inlineStr">
        <is>
          <t>Tax rate</t>
        </is>
      </c>
      <c r="B4" s="2" t="n">
        <v>0.243</v>
      </c>
      <c r="C4" t="inlineStr">
        <is>
          <t>Diageo Form 20-F FY26 (SEC accession 0001628280-26-057529, filed 2026-08-18) p.22, tax rate before exceptional items FY26</t>
        </is>
      </c>
    </row>
    <row r="5">
      <c r="A5" t="inlineStr">
        <is>
          <t>D&amp;A % of sales</t>
        </is>
      </c>
      <c r="B5" s="2" t="n">
        <v>0.03377</v>
      </c>
      <c r="C5" t="inlineStr">
        <is>
          <t>FY22-FY26 depreciation &amp; amortisation (excl. impairment) / net sales, summed over 5 years; 20-F XBRL deo:DepreciationAndIntangibleAssetAmortisationExpense and deo:NetSales</t>
        </is>
      </c>
    </row>
    <row r="6">
      <c r="A6" t="inlineStr">
        <is>
          <t>Capex % of sales</t>
        </is>
      </c>
      <c r="B6" s="2" t="n">
        <v>0.07106</v>
      </c>
      <c r="C6" t="inlineStr">
        <is>
          <t>FY22-FY26 purchase of PP&amp;E and software / net sales, summed over 5 years; 20-F cash flow statements</t>
        </is>
      </c>
    </row>
    <row r="7">
      <c r="A7" t="inlineStr">
        <is>
          <t>Terminal-year capex % of sales</t>
        </is>
      </c>
      <c r="B7" s="2" t="n">
        <v>0.06211688111691262</v>
      </c>
      <c r="C7" t="inlineStr">
        <is>
          <t>PM rule: return on new investment 13.4% (value driver formula, briefs/DGE.yaml)</t>
        </is>
      </c>
    </row>
    <row r="8">
      <c r="A8" t="inlineStr">
        <is>
          <t>Net working capital % of sales</t>
        </is>
      </c>
      <c r="B8" s="2" t="n">
        <v>0.37576</v>
      </c>
      <c r="C8" t="inlineStr">
        <is>
          <t>FY26 (inventories incl. maturing 10,529 + trade &amp; other receivables 3,277 - trade &amp; other payables 6,425) / net sales 19,643; Diageo Form 20-F FY26 (SEC accession 0001628280-26-057529, filed 2026-08-18) balance sheet</t>
        </is>
      </c>
    </row>
    <row r="9">
      <c r="A9" t="inlineStr">
        <is>
          <t>Savings flow-through</t>
        </is>
      </c>
      <c r="B9" s="2" t="n">
        <v>0.46</v>
      </c>
      <c r="C9" t="inlineStr">
        <is>
          <t>PM assumption (briefs/DGE.yaml)</t>
        </is>
      </c>
    </row>
    <row r="10">
      <c r="A10" t="inlineStr">
        <is>
          <t>Risk-free rate (US 10y)</t>
        </is>
      </c>
      <c r="B10" s="2" t="n">
        <v>0.0522</v>
      </c>
      <c r="C10" t="inlineStr">
        <is>
          <t>FRED DGS10 (US 10-year Treasury, constant maturity), 2026-10-08</t>
        </is>
      </c>
    </row>
    <row r="11">
      <c r="A11" t="inlineStr">
        <is>
          <t>Equity risk premium</t>
        </is>
      </c>
      <c r="B11" s="2" t="n">
        <v>0.05</v>
      </c>
      <c r="C11" t="inlineStr">
        <is>
          <t>PM assumption (briefs/DGE.yaml)</t>
        </is>
      </c>
    </row>
    <row r="12">
      <c r="A12" t="inlineStr">
        <is>
          <t>Beta</t>
        </is>
      </c>
      <c r="B12" s="2" t="n">
        <v>0.9601</v>
      </c>
      <c r="C12" t="inlineStr">
        <is>
          <t>Risk agent, bottom-up: Damodaran global alcoholic beverages unlevered beta 0.73 (Jan 2026, cash-corrected) relevered at Diageo D/E 0.416, tax 24.3%. See risk/beta_evidence.json</t>
        </is>
      </c>
    </row>
    <row r="13">
      <c r="A13" t="inlineStr">
        <is>
          <t>Pre-tax cost of debt</t>
        </is>
      </c>
      <c r="B13" s="2" t="n">
        <v>0.06220000000000001</v>
      </c>
      <c r="C13" t="inlineStr">
        <is>
          <t>risk-free 5.22% + credit spread 1.00% (PM rule, briefs)</t>
        </is>
      </c>
    </row>
    <row r="14">
      <c r="A14" t="inlineStr">
        <is>
          <t>Debt weight D/(D+E)</t>
        </is>
      </c>
      <c r="B14" s="2" t="n">
        <v>0.29395</v>
      </c>
      <c r="C14" t="inlineStr">
        <is>
          <t>net debt 20,482 / (net debt + market cap 49,196 = 2,222m shares x 1673p x 1.3234 USD/GBP)</t>
        </is>
      </c>
    </row>
    <row r="15">
      <c r="A15" t="inlineStr">
        <is>
          <t>Terminal growth</t>
        </is>
      </c>
      <c r="B15" s="2" t="n">
        <v>0.02</v>
      </c>
      <c r="C15" t="inlineStr">
        <is>
          <t>PM assumption (briefs/DGE.yaml)</t>
        </is>
      </c>
    </row>
    <row r="16">
      <c r="A16" t="inlineStr">
        <is>
          <t>Fraction of FY27 elapsed, used in discounting (0 = valued at 30 June)</t>
        </is>
      </c>
      <c r="B16" s="2" t="n">
        <v>0</v>
      </c>
      <c r="C16" t="inlineStr">
        <is>
          <t>103 days of FY27 (from 1 Jul 2026) elapsed at run date 2026-10-12 / 365</t>
        </is>
      </c>
    </row>
    <row r="17">
      <c r="A17" t="inlineStr">
        <is>
          <t>Years from 30 June to valuation date (equity roll-forward)</t>
        </is>
      </c>
      <c r="B17" s="2" t="n">
        <v>0.2822</v>
      </c>
      <c r="C17" t="inlineStr">
        <is>
          <t>103 days of FY27 (from 1 Jul 2026) elapsed at run date 2026-10-12 / 365</t>
        </is>
      </c>
    </row>
    <row r="18">
      <c r="A18" t="inlineStr">
        <is>
          <t>Dividends gone ex before valuation date (USD m)</t>
        </is>
      </c>
      <c r="B18" s="2" t="n">
        <v>0</v>
      </c>
      <c r="C18" t="inlineStr">
        <is>
          <t>Diageo Form 20-F FY26 (SEC accession 0001628280-26-057529): FY26 final dividend 30c, ex-dividend 15 October 2026 (ordinary shares), AFTER the 12 Oct 2026 valuation date, so the 1,673p price is cum-dividend and nothing is deducted. No other dividend went ex between 30 June and 12 Oct 2026.</t>
        </is>
      </c>
    </row>
    <row r="19">
      <c r="A19" t="inlineStr">
        <is>
          <t>Net debt (USD m)</t>
        </is>
      </c>
      <c r="B19" s="2" t="n">
        <v>20482</v>
      </c>
      <c r="C19" t="inlineStr">
        <is>
          <t>Diageo Form 20-F FY26 (SEC accession 0001628280-26-057529, filed 2026-08-18) note 17 p.187: net borrowings 20,482 (INCLUDES lease liabilities 685; EABL/RCB loans of 272 sit in liabilities held for sale)</t>
        </is>
      </c>
    </row>
    <row r="20">
      <c r="A20" t="inlineStr">
        <is>
          <t>Lease liabilities not in net debt (USD m)</t>
        </is>
      </c>
      <c r="B20" s="2" t="n">
        <v>0</v>
      </c>
      <c r="C20" t="inlineStr">
        <is>
          <t>0 because the 685 of lease liabilities is already inside net borrowings (20-F note 17 p.187)</t>
        </is>
      </c>
    </row>
    <row r="21">
      <c r="A21" t="inlineStr">
        <is>
          <t>Minority interests at book (USD m)</t>
        </is>
      </c>
      <c r="B21" s="2" t="n">
        <v>2083</v>
      </c>
      <c r="C21" t="inlineStr">
        <is>
          <t>Diageo Form 20-F FY26 (SEC accession 0001628280-26-057529, filed 2026-08-18) balance sheet, non-controlling interests at book value (USL 755, other 1,328: p.189)</t>
        </is>
      </c>
    </row>
    <row r="22">
      <c r="A22" t="inlineStr">
        <is>
          <t>Minorities' share of operating profit (proportionate method; blank = use book)</t>
        </is>
      </c>
      <c r="B22" s="2" t="n">
        <v>0.02566</v>
      </c>
      <c r="C22" t="inlineStr">
        <is>
          <t>Proportionate minorities (brief: minorities_method). (Profit before exceptional operating items attributable to non-controlling interests 227, Diageo Form 20-F FY26 (SEC accession 0001628280-26-057529) p.210 ROIC table, less EABL's 35% outside shareholders x EABL EBIT 250.2 (Diageo Kenya owns 65% of EABL, 20-F p.164; EBIT as in base_margin) = 139.4) / (operating profit before exceptionals 5,683 - EABL 250.2 = 5,432.8). Simplification: assumes EABL's minorities share EABL's EBIT pro rata.</t>
        </is>
      </c>
    </row>
    <row r="23">
      <c r="A23" t="inlineStr">
        <is>
          <t>Pension deficit (USD m)</t>
        </is>
      </c>
      <c r="B23" s="2" t="n">
        <v>0</v>
      </c>
      <c r="C23" t="inlineStr">
        <is>
          <t>Diageo Form 20-F FY26 (SEC accession 0001628280-26-057529, filed 2026-08-18): net post-employment SURPLUS 627 (XBRL LiabilityAssetOfDefinedBenefitPlans -627); brief rule: 0 if in surplus. Deficit plans alone: 387 (see FLAG)</t>
        </is>
      </c>
    </row>
    <row r="24">
      <c r="A24" t="inlineStr">
        <is>
          <t>Associates incl. Moet Hennessy (USD m)</t>
        </is>
      </c>
      <c r="B24" s="2" t="n">
        <v>5284</v>
      </c>
      <c r="C24" t="inlineStr">
        <is>
          <t>Diageo Form 20-F FY26 (SEC accession 0001628280-26-057529, filed 2026-08-18) note 'Investments in associates': Moet Hennessy 34% at 5,107 (carrying value tested at fair value less costs of disposal, 'sensitive' = little headroom) + others 177</t>
        </is>
      </c>
    </row>
    <row r="25">
      <c r="A25" t="inlineStr">
        <is>
          <t>Disposal proceeds not in net debt (USD m)</t>
        </is>
      </c>
      <c r="B25" s="2" t="n">
        <v>3318.3</v>
      </c>
      <c r="C25" t="inlineStr">
        <is>
          <t>EABL + Kenyan spirits sale to Asahi c.$2.3bn (20-F p.85) + Diageo's 57.21% of USL's RCB sale INR 166.6bn = c.$1.78bn (USL/press, 24 Mar 2026); both gross, before tax and costs, not in net debt at 30 June 2026</t>
        </is>
      </c>
    </row>
    <row r="26">
      <c r="A26" t="inlineStr">
        <is>
          <t>Restructuring cash still to pay (USD m)</t>
        </is>
      </c>
      <c r="B26" s="2" t="n">
        <v>850</v>
      </c>
      <c r="C26" t="inlineStr">
        <is>
          <t>Diageo Capital Markets Day 6-K, 6 Aug 2026 (SEC accession 0001654954-26-007324): c.$800m exceptional cash costs for the operating framework + c.$50m for supply chain in FY27; FY27-29 cumulative free cash flow c.$8bn after c.$850m exceptional cash costs (also 20-F FY26 CEO letter). Pre-tax, undiscounted: any tax relief (up to c.$207m at 24.3%) is not confirmed, so not counted. Not in net debt at 30 June 2026; the forecast is before exceptionals.</t>
        </is>
      </c>
    </row>
    <row r="27">
      <c r="A27" t="inlineStr">
        <is>
          <t>Ordinary shares (m)</t>
        </is>
      </c>
      <c r="B27" s="2" t="n">
        <v>2222</v>
      </c>
      <c r="C27" t="inlineStr">
        <is>
          <t>Diageo Form 20-F FY26 (SEC accession 0001628280-26-057529, filed 2026-08-18) p.188 and XBRL: 2,432m issued - 208m treasury - 2m employee trusts (ordinary shares, NOT ADRs)</t>
        </is>
      </c>
    </row>
    <row r="28">
      <c r="A28" t="inlineStr">
        <is>
          <t>USD per GBP</t>
        </is>
      </c>
      <c r="B28" s="2" t="n">
        <v>1.3234</v>
      </c>
      <c r="C28" t="inlineStr">
        <is>
          <t>FRED DEXUSUK (USD per GBP, noon buying rate New York), 2026-10-02</t>
        </is>
      </c>
    </row>
    <row r="29">
      <c r="A29" t="inlineStr">
        <is>
          <t>Share price (pence)</t>
        </is>
      </c>
      <c r="B29" s="2" t="n">
        <v>1673</v>
      </c>
      <c r="C29" t="inlineStr">
        <is>
          <t>Yahoo Finance DGE.L close (pence, GBp), 2026-10-12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USD m</t>
        </is>
      </c>
      <c r="B1" t="inlineStr">
        <is>
          <t>FY26 base</t>
        </is>
      </c>
      <c r="C1" t="inlineStr">
        <is>
          <t>FY27</t>
        </is>
      </c>
      <c r="D1" t="inlineStr">
        <is>
          <t>FY28</t>
        </is>
      </c>
      <c r="E1" t="inlineStr">
        <is>
          <t>FY29</t>
        </is>
      </c>
      <c r="F1" t="inlineStr">
        <is>
          <t>FY30</t>
        </is>
      </c>
      <c r="G1" t="inlineStr">
        <is>
          <t>FY31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</v>
      </c>
      <c r="D2" s="3" t="n">
        <v>0.015</v>
      </c>
      <c r="E2" s="3" t="n">
        <v>0.025</v>
      </c>
      <c r="F2" s="3" t="n">
        <v>0.03</v>
      </c>
      <c r="G2" s="3" t="n">
        <v>0.03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20425.14652985625</v>
      </c>
    </row>
    <row r="4">
      <c r="A4" t="inlineStr">
        <is>
          <t>Savings kept</t>
        </is>
      </c>
      <c r="C4" s="4">
        <f>377.5*Inputs!$B$9</f>
        <v/>
      </c>
      <c r="D4" s="4">
        <f>962.5*Inputs!$B$9</f>
        <v/>
      </c>
      <c r="E4" s="4">
        <f>1000.0*Inputs!$B$9</f>
        <v/>
      </c>
      <c r="F4" s="4">
        <f>1000.0*Inputs!$B$9</f>
        <v/>
      </c>
      <c r="G4" s="4">
        <f>1000.0*Inputs!$B$9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6456.414518235197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3902.30975406807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2707.856642981925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0.100205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0.04708540000000001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0.08459049358000001</v>
      </c>
    </row>
    <row r="20">
      <c r="A20" t="inlineStr">
        <is>
          <t>Sum of PV of FCF</t>
        </is>
      </c>
      <c r="B20" s="4">
        <f>SUM(C15:G15)</f>
        <v/>
      </c>
      <c r="C20" s="4" t="n">
        <v>15306.21633989776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4241.187860422046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65662.7256636308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45564.10410506354</v>
      </c>
    </row>
    <row r="24">
      <c r="A24" t="inlineStr">
        <is>
          <t>Enterprise value</t>
        </is>
      </c>
      <c r="B24" s="4">
        <f>B20+B23</f>
        <v/>
      </c>
      <c r="C24" s="4" t="n">
        <v>60870.3204449613</v>
      </c>
    </row>
    <row r="25">
      <c r="A25" t="inlineStr">
        <is>
          <t>Minority interests deducted</t>
        </is>
      </c>
      <c r="B25" s="4">
        <f>IF(ISBLANK(Inputs!$B$22),Inputs!$B$21,Inputs!$B$22*B24)</f>
        <v/>
      </c>
      <c r="C25" s="4" t="n">
        <v>1561.932422617707</v>
      </c>
    </row>
    <row r="26">
      <c r="A26" t="inlineStr">
        <is>
          <t>Equity value at balance sheet date</t>
        </is>
      </c>
      <c r="B26" s="4">
        <f>B24-Inputs!$B$19-Inputs!$B$20-B25-Inputs!$B$23-Inputs!$B$26+Inputs!$B$24+Inputs!$B$25</f>
        <v/>
      </c>
      <c r="C26" s="4" t="n">
        <v>46578.68802234359</v>
      </c>
    </row>
    <row r="27">
      <c r="A27" t="inlineStr">
        <is>
          <t>Equity value at valuation date</t>
        </is>
      </c>
      <c r="B27" s="4">
        <f>B26*(1+B17)^Inputs!$B$17-Inputs!$B$18</f>
        <v/>
      </c>
      <c r="C27" s="4" t="n">
        <v>47851.0096314929</v>
      </c>
    </row>
    <row r="28">
      <c r="A28" t="inlineStr">
        <is>
          <t>Value per share (USD)</t>
        </is>
      </c>
      <c r="B28" s="4">
        <f>B27/Inputs!$B$27</f>
        <v/>
      </c>
      <c r="C28" s="4" t="n">
        <v>21.5351078449563</v>
      </c>
    </row>
    <row r="29">
      <c r="A29" t="inlineStr">
        <is>
          <t>Value per share (pence)</t>
        </is>
      </c>
      <c r="B29" s="4">
        <f>B28/Inputs!$B$28*100</f>
        <v/>
      </c>
      <c r="C29" s="4" t="n">
        <v>1627.256146664372</v>
      </c>
    </row>
    <row r="30">
      <c r="A30" t="inlineStr">
        <is>
          <t>Upside vs share price</t>
        </is>
      </c>
      <c r="B30" s="6">
        <f>B29/Inputs!$B$29-1</f>
        <v/>
      </c>
      <c r="C30" s="6" t="n">
        <v>-0.0273424108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2026-10-13T11:06:32Z</dcterms:created>
  <dcterms:modified xmlns:dcterms="http://purl.org/dc/terms/" xmlns:xsi="http://www.w3.org/2001/XMLSchema-instance" xsi:type="dcterms:W3CDTF">2026-10-13T11:06:32Z</dcterms:modified>
</cp:coreProperties>
</file>