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DCF" sheetId="2" state="visible" r:id="rId2"/>
  </sheets>
  <definedNames>
    <definedName name="WACC">DCF!$B$19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0"/>
    <numFmt numFmtId="165" formatCode="#,##0.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164" fontId="0" fillId="2" borderId="0" pivotButton="0" quotePrefix="0" xfId="0"/>
    <xf numFmtId="165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46" customWidth="1" min="1" max="1"/>
    <col width="70" customWidth="1" min="3" max="3"/>
  </cols>
  <sheetData>
    <row r="1">
      <c r="A1" s="1" t="inlineStr">
        <is>
          <t>Input</t>
        </is>
      </c>
      <c r="B1" s="1" t="inlineStr">
        <is>
          <t>Value</t>
        </is>
      </c>
      <c r="C1" s="1" t="inlineStr">
        <is>
          <t>Source</t>
        </is>
      </c>
    </row>
    <row r="2">
      <c r="A2" t="inlineStr">
        <is>
          <t>Base-year net sales, excluding businesses being sold (USD m)</t>
        </is>
      </c>
      <c r="B2" s="2" t="n">
        <v>44308.7</v>
      </c>
      <c r="C2" t="inlineStr">
        <is>
          <t>FY25 10-K net operating revenues 47,941 less CCBA 3632.3 (EUR 3,357m x 1.0820 USD/EUR, FRED DEXUSEU 2024 average). Coca-Cola HBC CCBA acquisition announcement, 21 Oct 2025 (factsheet https://www.coca-colahellenic.com/content/dam/cch/us/documents/investors-and-financial/2026-q1-trading-update/coca-cola-hbc-factsheet-ccba-acquisition-q1-2026.pdf.downloadasset.pdf and acquisition presentation): CCBA 2024 net sales revenue EUR 3,357m, EBIT EUR 246m; KO sells 41.5% for USD 1.3bn, keeps 25%; 100% equity value USD 3.4bn. Seen via web search; page not reachable from this environment, PM asked to verify. FLAG: CCBA figure is calendar 2024. PM decision 2026-10-13</t>
        </is>
      </c>
    </row>
    <row r="3">
      <c r="A3" t="inlineStr">
        <is>
          <t>Base operating margin before exceptionals</t>
        </is>
      </c>
      <c r="B3" s="2" t="n">
        <v>0.33191</v>
      </c>
      <c r="C3" t="inlineStr">
        <is>
          <t>(comparable operating income 15,013 - CCBA EBIT 266.2) / (comparable revenues 48,062 - CCBA 3632.3); Q4 2025 8-K 0001628280-26-006642 + Coca-Cola HBC CCBA acquisition announcement, 21 Oct 2025 (factsheet https://www.coca-colahellenic.com/content/dam/cch/us/documents/investors-and-financial/2026-q1-trading-update/coca-cola-hbc-factsheet-ccba-acquisition-q1-2026.pdf.downloadasset.pdf and acquisition presentation): CCBA 2024 net sales revenue EUR 3,357m, EBIT EUR 246m; KO sells 41.5% for USD 1.3bn, keeps 25%; 100% equity value USD 3.4bn. Seen via web search; page not reachable from this environment, PM asked to verify. PM rule: held flat. PM decision 2026-10-13</t>
        </is>
      </c>
    </row>
    <row r="4">
      <c r="A4" t="inlineStr">
        <is>
          <t>Tax rate</t>
        </is>
      </c>
      <c r="B4" s="2" t="n">
        <v>0.237</v>
      </c>
      <c r="C4" t="inlineStr">
        <is>
          <t>PM decision (IRS case assumed lost): 19.9% underlying effective tax rate, FY26 guidance (KO Q2 2026 results 8-K ex.99.1 (accession 0001628280-26-049922, https://www.sec.gov/Archives/edgar/data/21344/000162828026049922/a2026q2earningsreleaseex-9.htm), outlook table) + 3.8 points if the Tax Court methodology keeps applying (KO Q2 2026 10-Q (accession 0001628280-26-050503, https://www.sec.gov/Archives/edgar/data/21344/000162828026050503/ko-20260703.htm) Note 9 Commitments and Contingencies (brief says note 12): 'would increase the Company's effective tax rate by approximately 3.8%')</t>
        </is>
      </c>
    </row>
    <row r="5">
      <c r="A5" t="inlineStr">
        <is>
          <t>D&amp;A % of sales</t>
        </is>
      </c>
      <c r="B5" s="2" t="n">
        <v>0.02682</v>
      </c>
      <c r="C5" t="inlineStr">
        <is>
          <t>FY21-FY25 depreciation &amp; amortisation / net operating revenues, pooled over 5 years (XBRL us-gaap:DepreciationDepletionAndAmortization and us-gaap:Revenues, 10-Ks FY22-FY25; financials_raw.csv)</t>
        </is>
      </c>
    </row>
    <row r="6">
      <c r="A6" t="inlineStr">
        <is>
          <t>Capex % of sales</t>
        </is>
      </c>
      <c r="B6" s="2" t="n">
        <v>0.04405</v>
      </c>
      <c r="C6" t="inlineStr">
        <is>
          <t>FY25 purchases of property, plant and equipment 2,112 / net operating revenues 47,941, KO FY25 10-K (accession 0001628280-26-010047; XBRL us-gaap:PaymentsToAcquirePropertyPlantAndEquipment, us-gaap:Revenues). PM decision 2026-10-13 (evidence audit): latest actual instead of the 5-year average (3.99%), which included Covid-era 2021; FY26 guidance capex c.$2.2bn (Q2 2026 8-K 0001628280-26-049922)</t>
        </is>
      </c>
    </row>
    <row r="7">
      <c r="A7" t="inlineStr">
        <is>
          <t>Terminal-year capex % of sales</t>
        </is>
      </c>
      <c r="B7" s="2" t="n">
        <v>0.04759004187363834</v>
      </c>
      <c r="C7" t="inlineStr">
        <is>
          <t>PM rule: return on new investment 27.0% (value driver formula, briefs/KO.yaml)</t>
        </is>
      </c>
    </row>
    <row r="8">
      <c r="A8" t="inlineStr">
        <is>
          <t>Net working capital % of sales</t>
        </is>
      </c>
      <c r="B8" s="2" t="n">
        <v>-0.10256</v>
      </c>
      <c r="C8" t="inlineStr">
        <is>
          <t>FY25 (inventories 4,425 + trade receivables 3,038 + prepaid &amp; other current 2,433 - accounts payable &amp; accrued 14,813 = -4,917) / net operating revenues 47,941; KO FY25 10-K (accession 0001628280-26-010047, filed 2026-02-20, https://www.sec.gov/Archives/edgar/data/21344/000162828026010047/ko-20251231.htm) balance sheet. Negative = suppliers fund KO. FY24 cross-check ex-fairlife liability 6,126: -4,291 = -9.12% of sales.</t>
        </is>
      </c>
    </row>
    <row r="9">
      <c r="A9" t="inlineStr">
        <is>
          <t>Savings flow-through</t>
        </is>
      </c>
      <c r="B9" s="2" t="n">
        <v>0</v>
      </c>
      <c r="C9" t="inlineStr">
        <is>
          <t>PM assumption (briefs/KO.yaml)</t>
        </is>
      </c>
    </row>
    <row r="10">
      <c r="A10" t="inlineStr">
        <is>
          <t>Risk-free rate (US 10y)</t>
        </is>
      </c>
      <c r="B10" s="2" t="n">
        <v>0.0522</v>
      </c>
      <c r="C10" t="inlineStr">
        <is>
          <t>FRED DGS10 (US 10-year Treasury, constant maturity), 2026-10-08</t>
        </is>
      </c>
    </row>
    <row r="11">
      <c r="A11" t="inlineStr">
        <is>
          <t>Equity risk premium</t>
        </is>
      </c>
      <c r="B11" s="2" t="n">
        <v>0.05</v>
      </c>
      <c r="C11" t="inlineStr">
        <is>
          <t>PM assumption (briefs/KO.yaml)</t>
        </is>
      </c>
    </row>
    <row r="12">
      <c r="A12" t="inlineStr">
        <is>
          <t>Beta</t>
        </is>
      </c>
      <c r="B12" s="2" t="n">
        <v>0.8684173345685366</v>
      </c>
      <c r="C12" t="inlineStr">
        <is>
          <t>BEAR SCRATCH SCENARIO ONLY, not the base: Damodaran soft-beverage unlevered 0.8204851316412943 x 1.0584</t>
        </is>
      </c>
    </row>
    <row r="13">
      <c r="A13" t="inlineStr">
        <is>
          <t>Pre-tax cost of debt</t>
        </is>
      </c>
      <c r="B13" s="2" t="n">
        <v>0.0591</v>
      </c>
      <c r="C13" t="inlineStr">
        <is>
          <t>risk-free 5.22% + credit spread 0.69% (PM rule, briefs)</t>
        </is>
      </c>
    </row>
    <row r="14">
      <c r="A14" t="inlineStr">
        <is>
          <t>Debt weight D/(D+E)</t>
        </is>
      </c>
      <c r="B14" s="2" t="n">
        <v>0.07112</v>
      </c>
      <c r="C14" t="inlineStr">
        <is>
          <t>net debt 29,686 / (net debt + market cap 387,696 = 4,302m shares x $90.12 Yahoo KO close 2026-10-13)</t>
        </is>
      </c>
    </row>
    <row r="15">
      <c r="A15" t="inlineStr">
        <is>
          <t>Terminal growth</t>
        </is>
      </c>
      <c r="B15" s="2" t="n">
        <v>0.02</v>
      </c>
      <c r="C15" t="inlineStr">
        <is>
          <t>PM assumption (briefs/KO.yaml)</t>
        </is>
      </c>
    </row>
    <row r="16">
      <c r="A16" t="inlineStr">
        <is>
          <t>Fraction of the first forecast year elapsed, used in discounting (0 = valued at the balance sheet date)</t>
        </is>
      </c>
      <c r="B16" s="2" t="n">
        <v>0</v>
      </c>
      <c r="C16" t="inlineStr">
        <is>
          <t>286 days from 31 Dec 2025 balance sheet to run date 2026-10-13 / 365</t>
        </is>
      </c>
    </row>
    <row r="17">
      <c r="A17" t="inlineStr">
        <is>
          <t>Years from the balance sheet date to valuation date (equity roll-forward)</t>
        </is>
      </c>
      <c r="B17" s="2" t="n">
        <v>0.78356</v>
      </c>
      <c r="C17" t="inlineStr">
        <is>
          <t>286 days from 31 Dec 2025 balance sheet to run date 2026-10-13 / 365</t>
        </is>
      </c>
    </row>
    <row r="18">
      <c r="A18" t="inlineStr">
        <is>
          <t>Dividends gone ex before valuation date (USD m)</t>
        </is>
      </c>
      <c r="B18" s="2" t="n">
        <v>6840.2</v>
      </c>
      <c r="C18" t="inlineStr">
        <is>
          <t>3 quarterly dividends of $0.53 = $1.59/share went ex between 1 Jan and 13 Oct 2026 x 4,302m shares. Q1: declared Feb 2026 (KO FY25 10-K (accession 0001628280-26-010047, filed 2026-02-20, https://www.sec.gov/Archives/edgar/data/21344/000162828026010047/ko-20251231.htm) 'increased our regular quarterly dividend to $0.53'), booked Q1 (KO Q1 2026 10-Q (accession 0001628280-26-028802, https://www.sec.gov/Archives/edgar/data/21344/000162828026028802/ko-20260403.htm) equity statement, $2,280m); Q2: record 15 Jun 2026 (KO Q1 2026 10-Q (accession 0001628280-26-028802, https://www.sec.gov/Archives/edgar/data/21344/000162828026028802/ko-20260403.htm)); Q3: record 15 Sep 2026, payable 1 Oct 2026 (KO Q2 2026 10-Q (accession 0001628280-26-050503, https://www.sec.gov/Archives/edgar/data/21344/000162828026050503/ko-20260703.htm)). Ex-dates 13 Mar, 15 Jun, 15 Sep 2026 (Yahoo KO dividend events, non-filing cross-check). Q4 dividend not yet ex.</t>
        </is>
      </c>
    </row>
    <row r="19">
      <c r="A19" t="inlineStr">
        <is>
          <t>Net debt (USD m)</t>
        </is>
      </c>
      <c r="B19" s="2" t="n">
        <v>29686</v>
      </c>
      <c r="C19" t="inlineStr">
        <is>
          <t>KO FY25 10-K (accession 0001628280-26-010047, filed 2026-02-20, https://www.sec.gov/Archives/edgar/data/21344/000162828026010047/ko-20251231.htm) balance sheet at 31 Dec 2025: loans and notes payable 1,551 + current maturities of LTD 1,822 + LTD 42,119 - cash 10,270 - short-term investments 3,602 - marketable securities 1,934. No finance-lease liability is disclosed separately (none inside or outside). EXCLUDES CCBA debt 1,435 and cash 178 (in held-for-sale).</t>
        </is>
      </c>
    </row>
    <row r="20">
      <c r="A20" t="inlineStr">
        <is>
          <t>Lease liabilities not in net debt (USD m)</t>
        </is>
      </c>
      <c r="B20" s="2" t="n">
        <v>1722</v>
      </c>
      <c r="C20" t="inlineStr">
        <is>
          <t>KO FY25 10-K (accession 0001628280-26-010047, filed 2026-02-20, https://www.sec.gov/Archives/edgar/data/21344/000162828026010047/ko-20251231.htm) Note 10: total operating lease liabilities 1,722 (current 321 in payables, noncurrent 1,401 in other noncurrent liabilities); NOT in net debt, so deducted separately.</t>
        </is>
      </c>
    </row>
    <row r="21">
      <c r="A21" t="inlineStr">
        <is>
          <t>Minority interests at book (USD m)</t>
        </is>
      </c>
      <c r="B21" s="2" t="n">
        <v>2106</v>
      </c>
      <c r="C21" t="inlineStr">
        <is>
          <t>KO FY25 10-K (accession 0001628280-26-010047, filed 2026-02-20, https://www.sec.gov/Archives/edgar/data/21344/000162828026010047/ko-20251231.htm) balance sheet: equity attributable to noncontrolling interests 2,106 (book; includes the 40% India bottling NCI sold July 2025 and the outside shareholders of CCBA - see FLAG) FLAG (PM informed 2026-10-13): includes CCBA's outside shareholder (Gutsche 33.5%), not disclosed; full amount deducted (conservative, up to c.USD 1.1bn too much).</t>
        </is>
      </c>
    </row>
    <row r="22">
      <c r="A22" t="inlineStr">
        <is>
          <t>Minorities' share of operating profit (proportionate method; blank = use book)</t>
        </is>
      </c>
      <c r="B22" s="2" t="n"/>
      <c r="C22" t="inlineStr">
        <is>
          <t>PM assumption (briefs/KO.yaml)</t>
        </is>
      </c>
    </row>
    <row r="23">
      <c r="A23" t="inlineStr">
        <is>
          <t>Pension deficit (USD m)</t>
        </is>
      </c>
      <c r="B23" s="2" t="n">
        <v>0</v>
      </c>
      <c r="C23" t="inlineStr">
        <is>
          <t>KO FY25 10-K (accession 0001628280-26-010047, filed 2026-02-20, https://www.sec.gov/Archives/edgar/data/21344/000162828026010047/ko-20251231.htm) Note 14: pension plans net ASSET 295, other postretirement net liability 112 = net surplus 183; brief rule 0 if in surplus. Gross accrued liability of deficit plans 863 (MD&amp;A) - see notes.</t>
        </is>
      </c>
    </row>
    <row r="24">
      <c r="A24" t="inlineStr">
        <is>
          <t>Associates and equity stakes (USD m)</t>
        </is>
      </c>
      <c r="B24" s="2" t="n">
        <v>46625.5</v>
      </c>
      <c r="C24" t="inlineStr">
        <is>
          <t>Listed stakes at run-date market value 39539.5 (data/associates_rollforward_check.csv: 31 Dec 2025 fair values from FY25 10-K x price and FX change to 13 Oct 2026, Yahoo/FRED) + unlisted equity-method investments at book 6,236 (FY25 10-K: 20,235 - listed book 13,999) + retained 25% of CCBA at deal value 850 (0.25 x USD 3.4bn, Coca-Cola HBC CCBA acquisition announcement, 21 Oct 2025 (factsheet https://www.coca-colahellenic.com/content/dam/cch/us/documents/investors-and-financial/2026-q1-trading-update/coca-cola-hbc-factsheet-ccba-acquisition-q1-2026.pdf.downloadasset.pdf and acquisition presentation): CCBA 2024 net sales revenue EUR 3,357m, EBIT EUR 246m; KO sells 41.5% for USD 1.3bn, keeps 25%; 100% equity value USD 3.4bn. Seen via web search; page not reachable from this environment, PM asked to verify). PM rule: listed stakes at run-date market value</t>
        </is>
      </c>
    </row>
    <row r="25">
      <c r="A25" t="inlineStr">
        <is>
          <t>Disposal proceeds not in net debt (USD m)</t>
        </is>
      </c>
      <c r="B25" s="2" t="n">
        <v>1300</v>
      </c>
      <c r="C25" t="inlineStr">
        <is>
          <t>KO's 41.5% of CCBA sold for USD 1.3bn, not yet received (Q2 2026 10-Q: not closed). Coca-Cola HBC CCBA acquisition announcement, 21 Oct 2025 (factsheet https://www.coca-colahellenic.com/content/dam/cch/us/documents/investors-and-financial/2026-q1-trading-update/coca-cola-hbc-factsheet-ccba-acquisition-q1-2026.pdf.downloadasset.pdf and acquisition presentation): CCBA 2024 net sales revenue EUR 3,357m, EBIT EUR 246m; KO sells 41.5% for USD 1.3bn, keeps 25%; 100% equity value USD 3.4bn. Seen via web search; page not reachable from this environment, PM asked to verify. PM decision 2026-10-13</t>
        </is>
      </c>
    </row>
    <row r="26">
      <c r="A26" t="inlineStr">
        <is>
          <t>Restructuring cash still to pay (USD m)</t>
        </is>
      </c>
      <c r="B26" s="2" t="n">
        <v>0</v>
      </c>
      <c r="C26" t="inlineStr">
        <is>
          <t>KO FY25 10-K (accession 0001628280-26-010047, filed 2026-02-20, https://www.sec.gov/Archives/edgar/data/21344/000162828026010047/ko-20251231.htm) Note 19: productivity and reinvestment program (2012-2017) 'substantially completed' at 31 Dec 2025 (FY25 charge 97); no new programme announced in the Q1/Q2 2026 10-Qs.</t>
        </is>
      </c>
    </row>
    <row r="27">
      <c r="A27" t="inlineStr">
        <is>
          <t>Contingent liabilities assumed paid, e.g. a lost tax case (USD m)</t>
        </is>
      </c>
      <c r="B27" s="2" t="n">
        <v>14000</v>
      </c>
      <c r="C27" t="inlineStr">
        <is>
          <t>Potential IRS tax and interest 2010-2025 at 31 Dec 2025, KO FY25 10-K (accession 0001628280-26-010047; XBRL ko:IncrementalTaxAndInterestLiability = 14,000m). PM decision 2026-10-13: assume KO loses; H1 2026 accrual (USD 900m, Q2 2026 10-Q) excluded because the 23.7% tax rate already charges 2026 onwards (mistakes log row 17)</t>
        </is>
      </c>
    </row>
    <row r="28">
      <c r="A28" t="inlineStr">
        <is>
          <t>Ordinary shares (m)</t>
        </is>
      </c>
      <c r="B28" s="2" t="n">
        <v>4302</v>
      </c>
      <c r="C28" t="inlineStr">
        <is>
          <t>KO FY25 10-K (accession 0001628280-26-010047, filed 2026-02-20, https://www.sec.gov/Archives/edgar/data/21344/000162828026010047/ko-20251231.htm) XBRL: 7,040m issued (us-gaap:CommonStockSharesIssued) - 2,738m treasury (us-gaap:TreasuryStockCommonShares) at 31 Dec 2025. Check: Q2 2026 10-Q cover 4,302,549,243 at 27 Jul 2026.</t>
        </is>
      </c>
    </row>
    <row r="29">
      <c r="A29" t="inlineStr">
        <is>
          <t>Share price (USD)</t>
        </is>
      </c>
      <c r="B29" s="2" t="n">
        <v>90.12000274658203</v>
      </c>
      <c r="C29" t="inlineStr">
        <is>
          <t>Yahoo Finance KO close (US dollars), 2026-10-13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36" customWidth="1" min="1" max="1"/>
  </cols>
  <sheetData>
    <row r="1">
      <c r="A1" t="inlineStr">
        <is>
          <t>USD m</t>
        </is>
      </c>
      <c r="B1" t="inlineStr">
        <is>
          <t>FY25 base</t>
        </is>
      </c>
      <c r="C1" t="inlineStr">
        <is>
          <t>FY26</t>
        </is>
      </c>
      <c r="D1" t="inlineStr">
        <is>
          <t>FY27</t>
        </is>
      </c>
      <c r="E1" t="inlineStr">
        <is>
          <t>FY28</t>
        </is>
      </c>
      <c r="F1" t="inlineStr">
        <is>
          <t>FY29</t>
        </is>
      </c>
      <c r="G1" t="inlineStr">
        <is>
          <t>FY30</t>
        </is>
      </c>
      <c r="H1" t="inlineStr"/>
      <c r="I1" t="inlineStr">
        <is>
          <t>Python check (final year)</t>
        </is>
      </c>
    </row>
    <row r="2">
      <c r="A2" t="inlineStr">
        <is>
          <t>Growth</t>
        </is>
      </c>
      <c r="C2" s="3" t="n">
        <v>0.06</v>
      </c>
      <c r="D2" s="3" t="n">
        <v>0.03</v>
      </c>
      <c r="E2" s="3" t="n">
        <v>0.03</v>
      </c>
      <c r="F2" s="3" t="n">
        <v>0.03</v>
      </c>
      <c r="G2" s="3" t="n">
        <v>0.03</v>
      </c>
    </row>
    <row r="3">
      <c r="A3" t="inlineStr">
        <is>
          <t>Net sales</t>
        </is>
      </c>
      <c r="B3" s="4">
        <f>Inputs!$B$2</f>
        <v/>
      </c>
      <c r="C3" s="4">
        <f>B3*(1+C2)</f>
        <v/>
      </c>
      <c r="D3" s="4">
        <f>C3*(1+D2)</f>
        <v/>
      </c>
      <c r="E3" s="4">
        <f>D3*(1+E2)</f>
        <v/>
      </c>
      <c r="F3" s="4">
        <f>E3*(1+F2)</f>
        <v/>
      </c>
      <c r="G3" s="4">
        <f>F3*(1+G2)</f>
        <v/>
      </c>
      <c r="I3" s="4" t="n">
        <v>52862.02214222582</v>
      </c>
    </row>
    <row r="4">
      <c r="A4" t="inlineStr">
        <is>
          <t>Savings kept</t>
        </is>
      </c>
      <c r="C4" s="4">
        <f>0.0*Inputs!$B$9</f>
        <v/>
      </c>
      <c r="D4" s="4">
        <f>0.0*Inputs!$B$9</f>
        <v/>
      </c>
      <c r="E4" s="4">
        <f>0.0*Inputs!$B$9</f>
        <v/>
      </c>
      <c r="F4" s="4">
        <f>0.0*Inputs!$B$9</f>
        <v/>
      </c>
      <c r="G4" s="4">
        <f>0.0*Inputs!$B$9</f>
        <v/>
      </c>
    </row>
    <row r="5">
      <c r="A5" t="inlineStr">
        <is>
          <t>EBIT</t>
        </is>
      </c>
      <c r="C5" s="4">
        <f>C3*Inputs!$B$3+C4</f>
        <v/>
      </c>
      <c r="D5" s="4">
        <f>D3*Inputs!$B$3+D4</f>
        <v/>
      </c>
      <c r="E5" s="4">
        <f>E3*Inputs!$B$3+E4</f>
        <v/>
      </c>
      <c r="F5" s="4">
        <f>F3*Inputs!$B$3+F4</f>
        <v/>
      </c>
      <c r="G5" s="4">
        <f>G3*Inputs!$B$3+G4</f>
        <v/>
      </c>
      <c r="I5" s="4" t="n">
        <v>17545.43376922617</v>
      </c>
    </row>
    <row r="6">
      <c r="A6" t="inlineStr">
        <is>
          <t>Tax</t>
        </is>
      </c>
      <c r="C6" s="4">
        <f>C5*Inputs!$B$4</f>
        <v/>
      </c>
      <c r="D6" s="4">
        <f>D5*Inputs!$B$4</f>
        <v/>
      </c>
      <c r="E6" s="4">
        <f>E5*Inputs!$B$4</f>
        <v/>
      </c>
      <c r="F6" s="4">
        <f>F5*Inputs!$B$4</f>
        <v/>
      </c>
      <c r="G6" s="4">
        <f>G5*Inputs!$B$4</f>
        <v/>
      </c>
    </row>
    <row r="7">
      <c r="A7" t="inlineStr">
        <is>
          <t>NOPAT</t>
        </is>
      </c>
      <c r="C7" s="4">
        <f>C5-C6</f>
        <v/>
      </c>
      <c r="D7" s="4">
        <f>D5-D6</f>
        <v/>
      </c>
      <c r="E7" s="4">
        <f>E5-E6</f>
        <v/>
      </c>
      <c r="F7" s="4">
        <f>F5-F6</f>
        <v/>
      </c>
      <c r="G7" s="4">
        <f>G5-G6</f>
        <v/>
      </c>
    </row>
    <row r="8">
      <c r="A8" t="inlineStr">
        <is>
          <t>D&amp;A</t>
        </is>
      </c>
      <c r="C8" s="4">
        <f>C3*Inputs!$B$5</f>
        <v/>
      </c>
      <c r="D8" s="4">
        <f>D3*Inputs!$B$5</f>
        <v/>
      </c>
      <c r="E8" s="4">
        <f>E3*Inputs!$B$5</f>
        <v/>
      </c>
      <c r="F8" s="4">
        <f>F3*Inputs!$B$5</f>
        <v/>
      </c>
      <c r="G8" s="4">
        <f>G3*Inputs!$B$5</f>
        <v/>
      </c>
    </row>
    <row r="9">
      <c r="A9" t="inlineStr">
        <is>
          <t>Capex</t>
        </is>
      </c>
      <c r="C9" s="4">
        <f>C3*Inputs!$B$6</f>
        <v/>
      </c>
      <c r="D9" s="4">
        <f>D3*Inputs!$B$6</f>
        <v/>
      </c>
      <c r="E9" s="4">
        <f>E3*Inputs!$B$6</f>
        <v/>
      </c>
      <c r="F9" s="4">
        <f>F3*Inputs!$B$6</f>
        <v/>
      </c>
      <c r="G9" s="4">
        <f>G3*Inputs!$B$6</f>
        <v/>
      </c>
    </row>
    <row r="10">
      <c r="A10" t="inlineStr">
        <is>
          <t>Increase in NWC</t>
        </is>
      </c>
      <c r="C10" s="4">
        <f>(C3-B3)*Inputs!$B$8</f>
        <v/>
      </c>
      <c r="D10" s="4">
        <f>(D3-C3)*Inputs!$B$8</f>
        <v/>
      </c>
      <c r="E10" s="4">
        <f>(E3-D3)*Inputs!$B$8</f>
        <v/>
      </c>
      <c r="F10" s="4">
        <f>(F3-E3)*Inputs!$B$8</f>
        <v/>
      </c>
      <c r="G10" s="4">
        <f>(G3-F3)*Inputs!$B$8</f>
        <v/>
      </c>
    </row>
    <row r="11">
      <c r="A11" t="inlineStr">
        <is>
          <t>Unlevered FCF</t>
        </is>
      </c>
      <c r="C11" s="4">
        <f>C7+C8-C9-C10</f>
        <v/>
      </c>
      <c r="D11" s="4">
        <f>D7+D8-D9-D10</f>
        <v/>
      </c>
      <c r="E11" s="4">
        <f>E7+E8-E9-E10</f>
        <v/>
      </c>
      <c r="F11" s="4">
        <f>F7+F8-F9-F10</f>
        <v/>
      </c>
      <c r="G11" s="4">
        <f>G7+G8-G9-G10</f>
        <v/>
      </c>
      <c r="I11" s="4" t="n">
        <v>12634.26193579465</v>
      </c>
    </row>
    <row r="12">
      <c r="A12" t="inlineStr">
        <is>
          <t>Cash flow counted</t>
        </is>
      </c>
      <c r="C12" s="4">
        <f>C11*(1-Inputs!$B$16)</f>
        <v/>
      </c>
      <c r="D12" s="4">
        <f>D11*1</f>
        <v/>
      </c>
      <c r="E12" s="4">
        <f>E11*1</f>
        <v/>
      </c>
      <c r="F12" s="4">
        <f>F11*1</f>
        <v/>
      </c>
      <c r="G12" s="4">
        <f>G11*1</f>
        <v/>
      </c>
    </row>
    <row r="13">
      <c r="A13" t="inlineStr">
        <is>
          <t>Discount period</t>
        </is>
      </c>
      <c r="C13" s="5">
        <f>(0+(1-Inputs!$B$16))/2</f>
        <v/>
      </c>
      <c r="D13" s="5">
        <f>((1-Inputs!$B$16)+(2-Inputs!$B$16))/2</f>
        <v/>
      </c>
      <c r="E13" s="5">
        <f>((2-Inputs!$B$16)+(3-Inputs!$B$16))/2</f>
        <v/>
      </c>
      <c r="F13" s="5">
        <f>((3-Inputs!$B$16)+(4-Inputs!$B$16))/2</f>
        <v/>
      </c>
      <c r="G13" s="5">
        <f>((4-Inputs!$B$16)+(5-Inputs!$B$16))/2</f>
        <v/>
      </c>
    </row>
    <row r="14">
      <c r="A14" t="inlineStr">
        <is>
          <t>Discount factor</t>
        </is>
      </c>
      <c r="C14" s="5">
        <f>1/(1+WACC)^C13</f>
        <v/>
      </c>
      <c r="D14" s="5">
        <f>1/(1+WACC)^D13</f>
        <v/>
      </c>
      <c r="E14" s="5">
        <f>1/(1+WACC)^E13</f>
        <v/>
      </c>
      <c r="F14" s="5">
        <f>1/(1+WACC)^F13</f>
        <v/>
      </c>
      <c r="G14" s="5">
        <f>1/(1+WACC)^G13</f>
        <v/>
      </c>
    </row>
    <row r="15">
      <c r="A15" t="inlineStr">
        <is>
          <t>PV of FCF</t>
        </is>
      </c>
      <c r="C15" s="4">
        <f>C12*C14</f>
        <v/>
      </c>
      <c r="D15" s="4">
        <f>D12*D14</f>
        <v/>
      </c>
      <c r="E15" s="4">
        <f>E12*E14</f>
        <v/>
      </c>
      <c r="F15" s="4">
        <f>F12*F14</f>
        <v/>
      </c>
      <c r="G15" s="4">
        <f>G12*G14</f>
        <v/>
      </c>
      <c r="I15" s="4" t="n">
        <v>8501.568603144906</v>
      </c>
    </row>
    <row r="16">
      <c r="A16" s="1" t="inlineStr">
        <is>
          <t>Valuation</t>
        </is>
      </c>
      <c r="C16" s="1" t="inlineStr">
        <is>
          <t>Python check</t>
        </is>
      </c>
    </row>
    <row r="17">
      <c r="A17" t="inlineStr">
        <is>
          <t>Cost of equity = Rf + beta x ERP</t>
        </is>
      </c>
      <c r="B17" s="6">
        <f>Inputs!$B$10+Inputs!$B$12*Inputs!$B$11</f>
        <v/>
      </c>
      <c r="C17" s="6" t="n">
        <v>0.09562086672842683</v>
      </c>
    </row>
    <row r="18">
      <c r="A18" t="inlineStr">
        <is>
          <t>After-tax cost of debt</t>
        </is>
      </c>
      <c r="B18" s="6">
        <f>Inputs!$B$13*(1-Inputs!$B$4)</f>
        <v/>
      </c>
      <c r="C18" s="6" t="n">
        <v>0.0450933</v>
      </c>
    </row>
    <row r="19">
      <c r="A19" t="inlineStr">
        <is>
          <t>WACC</t>
        </is>
      </c>
      <c r="B19" s="6">
        <f>(1-Inputs!$B$14)*B17+Inputs!$B$14*B18</f>
        <v/>
      </c>
      <c r="C19" s="6" t="n">
        <v>0.09202734618270111</v>
      </c>
    </row>
    <row r="20">
      <c r="A20" t="inlineStr">
        <is>
          <t>Sum of PV of FCF</t>
        </is>
      </c>
      <c r="B20" s="4">
        <f>SUM(C15:G15)</f>
        <v/>
      </c>
      <c r="C20" s="4" t="n">
        <v>48071.91532997818</v>
      </c>
    </row>
    <row r="21">
      <c r="A21" t="inlineStr">
        <is>
          <t>Terminal-year FCF (normalised, grows at g)</t>
        </is>
      </c>
      <c r="B21" s="4">
        <f>G7*(1+Inputs!$B$15)+G3*(1+Inputs!$B$15)*Inputs!$B$5-G3*(1+Inputs!$B$15)*Inputs!$B$7-G3*Inputs!$B$15*Inputs!$B$8</f>
        <v/>
      </c>
      <c r="C21" s="4" t="n">
        <v>12643.43452336848</v>
      </c>
    </row>
    <row r="22">
      <c r="A22" t="inlineStr">
        <is>
          <t>Terminal value (Gordon growth)</t>
        </is>
      </c>
      <c r="B22" s="4">
        <f>B21/(WACC-Inputs!$B$15)</f>
        <v/>
      </c>
      <c r="C22" s="4" t="n">
        <v>175536.587052614</v>
      </c>
    </row>
    <row r="23">
      <c r="A23" t="inlineStr">
        <is>
          <t>PV of terminal value</t>
        </is>
      </c>
      <c r="B23" s="4">
        <f>B22/(1+WACC)^(5-Inputs!$B$16-0.5)</f>
        <v/>
      </c>
      <c r="C23" s="4" t="n">
        <v>118118.204670248</v>
      </c>
    </row>
    <row r="24">
      <c r="A24" t="inlineStr">
        <is>
          <t>Enterprise value</t>
        </is>
      </c>
      <c r="B24" s="4">
        <f>B20+B23</f>
        <v/>
      </c>
      <c r="C24" s="4" t="n">
        <v>166190.1200002262</v>
      </c>
    </row>
    <row r="25">
      <c r="A25" t="inlineStr">
        <is>
          <t>Minority interests deducted</t>
        </is>
      </c>
      <c r="B25" s="4">
        <f>IF(ISBLANK(Inputs!$B$22),Inputs!$B$21,Inputs!$B$22*B24)</f>
        <v/>
      </c>
      <c r="C25" s="4" t="n">
        <v>2106</v>
      </c>
    </row>
    <row r="26">
      <c r="A26" t="inlineStr">
        <is>
          <t>Equity value at balance sheet date</t>
        </is>
      </c>
      <c r="B26" s="4">
        <f>B24-Inputs!$B$19-Inputs!$B$20-B25-Inputs!$B$23-Inputs!$B$26-Inputs!$B$27+Inputs!$B$24+Inputs!$B$25</f>
        <v/>
      </c>
      <c r="C26" s="4" t="n">
        <v>166601.6200002262</v>
      </c>
    </row>
    <row r="27">
      <c r="A27" t="inlineStr">
        <is>
          <t>Equity value at valuation date</t>
        </is>
      </c>
      <c r="B27" s="4">
        <f>B26*(1+B17)^Inputs!$B$17-Inputs!$B$18</f>
        <v/>
      </c>
      <c r="C27" s="4" t="n">
        <v>172119.5815128621</v>
      </c>
    </row>
    <row r="28">
      <c r="A28" t="inlineStr">
        <is>
          <t>Value per share (USD)</t>
        </is>
      </c>
      <c r="B28" s="4">
        <f>B27/Inputs!$B$28</f>
        <v/>
      </c>
      <c r="C28" s="4" t="n">
        <v>40.00920072358488</v>
      </c>
    </row>
    <row r="29">
      <c r="A29" t="inlineStr">
        <is>
          <t>Upside vs share price</t>
        </is>
      </c>
      <c r="B29" s="6">
        <f>B28/Inputs!$B$29-1</f>
        <v/>
      </c>
      <c r="C29" s="6" t="n">
        <v>-0.5560452785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2026-10-13T18:19:39Z</dcterms:created>
  <dcterms:modified xmlns:dcterms="http://purl.org/dc/terms/" xmlns:xsi="http://www.w3.org/2001/XMLSchema-instance" xsi:type="dcterms:W3CDTF">2026-10-13T18:19:39Z</dcterms:modified>
</cp:coreProperties>
</file>