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0.8684173345685366</v>
      </c>
      <c r="C12" t="inlineStr">
        <is>
          <t>BEAR SCRATCH SCENARIO ONLY, not the base: Damodaran soft-beverage unlevered 0.8204851316412943 x 1.0584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8648.995612186962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0.08867352805187853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0.08557410223282894</v>
      </c>
    </row>
    <row r="20">
      <c r="A20" t="inlineStr">
        <is>
          <t>Sum of PV of FCF</t>
        </is>
      </c>
      <c r="B20" s="4">
        <f>SUM(C15:G15)</f>
        <v/>
      </c>
      <c r="C20" s="4" t="n">
        <v>48254.92584021221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12524.15683918576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190992.4255572299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131992.2738691174</v>
      </c>
    </row>
    <row r="24">
      <c r="A24" t="inlineStr">
        <is>
          <t>Enterprise value</t>
        </is>
      </c>
      <c r="B24" s="4">
        <f>B20+B23</f>
        <v/>
      </c>
      <c r="C24" s="4" t="n">
        <v>180247.1997093296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180658.6997093296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183532.7405718118</v>
      </c>
    </row>
    <row r="28">
      <c r="A28" t="inlineStr">
        <is>
          <t>Value per share (USD)</t>
        </is>
      </c>
      <c r="B28" s="4">
        <f>B27/Inputs!$B$30</f>
        <v/>
      </c>
      <c r="C28" s="4" t="n">
        <v>42.66218981213664</v>
      </c>
    </row>
    <row r="29">
      <c r="A29" t="inlineStr">
        <is>
          <t>Upside vs share price</t>
        </is>
      </c>
      <c r="B29" s="6">
        <f>B28/Inputs!$B$31-1</f>
        <v/>
      </c>
      <c r="C29" s="6" t="n">
        <v>-0.5266068739999999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2026-10-15T12:12:40Z</dcterms:created>
  <dcterms:modified xmlns:dcterms="http://purl.org/dc/terms/" xmlns:xsi="http://www.w3.org/2001/XMLSchema-instance" xsi:type="dcterms:W3CDTF">2026-10-15T12:12:40Z</dcterms:modified>
</cp:coreProperties>
</file>