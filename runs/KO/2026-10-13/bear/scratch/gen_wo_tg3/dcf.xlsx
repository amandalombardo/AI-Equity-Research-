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0.199</v>
      </c>
      <c r="C4" t="inlineStr">
        <is>
          <t>BEAR SCRATCH SCENARIO ONLY, not the base: 19.9%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0.04576473262145623</v>
      </c>
      <c r="C7" t="inlineStr">
        <is>
          <t>PM rule: return on new investment 31.4%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0.3457</v>
      </c>
      <c r="C12" t="inlineStr">
        <is>
          <t>BEAR SCRATCH SCENARIO ONLY, not the base: 5y weekly regression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52625.5</v>
      </c>
      <c r="C26" t="inlineStr">
        <is>
          <t>BEAR SCRATCH SCENARIO ONLY, not the base: deposit refunded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0</v>
      </c>
      <c r="C29" t="inlineStr">
        <is>
          <t>BEAR SCRATCH SCENARIO ONLY, not the base: IRS win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17379.91080913914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13175.50739620425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9909.878485237996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0.0667194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0.0473391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0.065341073064</v>
      </c>
    </row>
    <row r="20">
      <c r="A20" t="inlineStr">
        <is>
          <t>Sum of PV of FCF</t>
        </is>
      </c>
      <c r="B20" s="4">
        <f>SUM(C15:G15)</f>
        <v/>
      </c>
      <c r="C20" s="4" t="n">
        <v>53153.81606243531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13295.29302678076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293228.4599443454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220550.0189919891</v>
      </c>
    </row>
    <row r="24">
      <c r="A24" t="inlineStr">
        <is>
          <t>Enterprise value</t>
        </is>
      </c>
      <c r="B24" s="4">
        <f>B20+B23</f>
        <v/>
      </c>
      <c r="C24" s="4" t="n">
        <v>273703.8350544244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294115.3350544244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300490.4292446193</v>
      </c>
    </row>
    <row r="28">
      <c r="A28" t="inlineStr">
        <is>
          <t>Value per share (USD)</t>
        </is>
      </c>
      <c r="B28" s="4">
        <f>B27/Inputs!$B$30</f>
        <v/>
      </c>
      <c r="C28" s="4" t="n">
        <v>69.84900726281249</v>
      </c>
    </row>
    <row r="29">
      <c r="A29" t="inlineStr">
        <is>
          <t>Upside vs share price</t>
        </is>
      </c>
      <c r="B29" s="6">
        <f>B28/Inputs!$B$31-1</f>
        <v/>
      </c>
      <c r="C29" s="6" t="n">
        <v>-0.2249333651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2026-10-15T12:12:45Z</dcterms:created>
  <dcterms:modified xmlns:dcterms="http://purl.org/dc/terms/" xmlns:xsi="http://www.w3.org/2001/XMLSchema-instance" xsi:type="dcterms:W3CDTF">2026-10-15T12:12:45Z</dcterms:modified>
</cp:coreProperties>
</file>