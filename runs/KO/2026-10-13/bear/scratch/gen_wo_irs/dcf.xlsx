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0.05400278924308947</v>
      </c>
      <c r="C7" t="inlineStr">
        <is>
          <t>PM rule: return on new investment 31.4%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0.3457</v>
      </c>
      <c r="C12" t="inlineStr">
        <is>
          <t>BEAR SCRATCH SCENARIO ONLY, not the base: 5y weekly regression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0.03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39539.5</v>
      </c>
      <c r="C20" t="inlineStr">
        <is>
          <t>Listed equity stakes at run-date (13 Oct 2026) market value, the 39,539.5 inside 'associates' (data/associates_rollforward_check.csv, Yahoo/FRED). Added by the evidence audit 15 Oct 2026: KO was valued before the desk learned to keep run-date values out of the roll-forward (mistakes log row 24)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46625.5</v>
      </c>
      <c r="C26" t="inlineStr">
        <is>
          <t>Listed stakes at run-date market value 39539.5 (data/associates_rollforward_check.csv: 31 Dec 2025 fair values from FY25 10-K x price and FX change to 13 Oct 2026, Yahoo/FRED) + unlisted equity-method investments at book 6,236 (FY25 10-K: 20,235 - listed book 13,999) + retained 25% of CCBA at deal value 850 (0.25 x USD 3.4bn,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verify). PM rule: listed stakes at run-date market value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0.05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52363.32382012936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17379.91080913914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12515.07078545696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9419.488378472806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0.0667194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0.065181351768</v>
      </c>
    </row>
    <row r="20">
      <c r="A20" t="inlineStr">
        <is>
          <t>Sum of PV of FCF</t>
        </is>
      </c>
      <c r="B20" s="4">
        <f>SUM(C15:G15)</f>
        <v/>
      </c>
      <c r="C20" s="4" t="n">
        <v>50512.10485134534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12353.7269491898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351144.1808903549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264289.2387719148</v>
      </c>
    </row>
    <row r="24">
      <c r="A24" t="inlineStr">
        <is>
          <t>Enterprise value</t>
        </is>
      </c>
      <c r="B24" s="4">
        <f>B20+B23</f>
        <v/>
      </c>
      <c r="C24" s="4" t="n">
        <v>314801.3436232602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315212.8436232602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322683.1312451401</v>
      </c>
    </row>
    <row r="28">
      <c r="A28" t="inlineStr">
        <is>
          <t>Value per share (USD)</t>
        </is>
      </c>
      <c r="B28" s="4">
        <f>B27/Inputs!$B$30</f>
        <v/>
      </c>
      <c r="C28" s="4" t="n">
        <v>75.00770135870296</v>
      </c>
    </row>
    <row r="29">
      <c r="A29" t="inlineStr">
        <is>
          <t>Upside vs share price</t>
        </is>
      </c>
      <c r="B29" s="6">
        <f>B28/Inputs!$B$31-1</f>
        <v/>
      </c>
      <c r="C29" s="6" t="n">
        <v>-0.1676908669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2026-10-15T12:12:44Z</dcterms:created>
  <dcterms:modified xmlns:dcterms="http://purl.org/dc/terms/" xmlns:xsi="http://www.w3.org/2001/XMLSchema-instance" xsi:type="dcterms:W3CDTF">2026-10-15T12:12:44Z</dcterms:modified>
</cp:coreProperties>
</file>