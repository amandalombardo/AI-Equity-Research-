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0.199</v>
      </c>
      <c r="C4" t="inlineStr">
        <is>
          <t>BEAR SCRATCH SCENARIO ONLY, not the base: IRS win: 19.9% underlying (Q2 2026 8-K)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0.04852430705882353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39539.5</v>
      </c>
      <c r="C20" t="inlineStr">
        <is>
          <t>Listed equity stakes at run-date (13 Oct 2026) market value, the 39,539.5 inside 'associates' (data/associates_rollforward_check.csv, Yahoo/FRED). Added by the evidence audit 15 Oct 2026: KO was valued before the desk learned to keep run-date values out of the roll-forward (mistakes log row 24)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52625.5</v>
      </c>
      <c r="C26" t="inlineStr">
        <is>
          <t>BEAR SCRATCH SCENARIO ONLY, not the base: IRS win: $6.0bn deposit refunded (FY25 10-K)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0</v>
      </c>
      <c r="C29" t="inlineStr">
        <is>
          <t>BEAR SCRATCH SCENARIO ONLY, not the base: IRS win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0.05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52363.32382012936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17379.91080913914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13175.50739620425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9490.907319466791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0.0777822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0.0473391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0.07561708672800001</v>
      </c>
    </row>
    <row r="20">
      <c r="A20" t="inlineStr">
        <is>
          <t>Sum of PV of FCF</t>
        </is>
      </c>
      <c r="B20" s="4">
        <f>SUM(C15:G15)</f>
        <v/>
      </c>
      <c r="C20" s="4" t="n">
        <v>51933.31123395747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13147.90252711376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236400.417580566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170289.7950015023</v>
      </c>
    </row>
    <row r="24">
      <c r="A24" t="inlineStr">
        <is>
          <t>Enterprise value</t>
        </is>
      </c>
      <c r="B24" s="4">
        <f>B20+B23</f>
        <v/>
      </c>
      <c r="C24" s="4" t="n">
        <v>222223.1062354598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242634.6062354598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248071.4058420724</v>
      </c>
    </row>
    <row r="28">
      <c r="A28" t="inlineStr">
        <is>
          <t>Value per share (USD)</t>
        </is>
      </c>
      <c r="B28" s="4">
        <f>B27/Inputs!$B$30</f>
        <v/>
      </c>
      <c r="C28" s="4" t="n">
        <v>57.66420405441014</v>
      </c>
    </row>
    <row r="29">
      <c r="A29" t="inlineStr">
        <is>
          <t>Upside vs share price</t>
        </is>
      </c>
      <c r="B29" s="6">
        <f>B28/Inputs!$B$31-1</f>
        <v/>
      </c>
      <c r="C29" s="6" t="n">
        <v>-0.3601397881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2026-10-15T12:12:36Z</dcterms:created>
  <dcterms:modified xmlns:dcterms="http://purl.org/dc/terms/" xmlns:xsi="http://www.w3.org/2001/XMLSchema-instance" xsi:type="dcterms:W3CDTF">2026-10-15T12:12:36Z</dcterms:modified>
</cp:coreProperties>
</file>