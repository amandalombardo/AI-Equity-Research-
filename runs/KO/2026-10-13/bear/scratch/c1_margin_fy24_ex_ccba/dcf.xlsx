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0.3194012670837889</v>
      </c>
      <c r="C3" t="inlineStr">
        <is>
          <t>BEAR SCRATCH SCENARIO ONLY, not the base: FY24 comparable margin ex-CCBA (14,085-266.2)/(46,897-3,632.3)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0.04688306682067027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16724.91197686806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12015.30667643413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8660.94873622952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47384.64808902334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12052.15740288642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217322.9346364169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156652.081114551</v>
      </c>
    </row>
    <row r="24">
      <c r="A24" t="inlineStr">
        <is>
          <t>Enterprise value</t>
        </is>
      </c>
      <c r="B24" s="4">
        <f>B20+B23</f>
        <v/>
      </c>
      <c r="C24" s="4" t="n">
        <v>204036.7292035743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204448.2292035743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207576.6810390944</v>
      </c>
    </row>
    <row r="28">
      <c r="A28" t="inlineStr">
        <is>
          <t>Value per share (USD)</t>
        </is>
      </c>
      <c r="B28" s="4">
        <f>B27/Inputs!$B$30</f>
        <v/>
      </c>
      <c r="C28" s="4" t="n">
        <v>48.25120433265793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-0.4645894045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2026-10-15T12:12:35Z</dcterms:created>
  <dcterms:modified xmlns:dcterms="http://purl.org/dc/terms/" xmlns:xsi="http://www.w3.org/2001/XMLSchema-instance" xsi:type="dcterms:W3CDTF">2026-10-15T12:12:35Z</dcterms:modified>
</cp:coreProperties>
</file>