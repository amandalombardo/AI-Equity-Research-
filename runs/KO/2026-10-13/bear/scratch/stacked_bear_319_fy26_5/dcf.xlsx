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0.319</v>
      </c>
      <c r="C3" t="inlineStr">
        <is>
          <t>BEAR SCRATCH SCENARIO ONLY, not the base: stacked bear 31.9% + FY26 5.0%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0.04686038779956427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46625.5</v>
      </c>
      <c r="C26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14000</v>
      </c>
      <c r="C29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16862.98506337004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12113.55357322642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8731.767680724755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0.075457365432</v>
      </c>
    </row>
    <row r="20">
      <c r="A20" t="inlineStr">
        <is>
          <t>Sum of PV of FCF</t>
        </is>
      </c>
      <c r="B20" s="4">
        <f>SUM(C15:G15)</f>
        <v/>
      </c>
      <c r="C20" s="4" t="n">
        <v>47813.95117821754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12151.65440316515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219117.0516036344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157945.327762208</v>
      </c>
    </row>
    <row r="24">
      <c r="A24" t="inlineStr">
        <is>
          <t>Enterprise value</t>
        </is>
      </c>
      <c r="B24" s="4">
        <f>B20+B23</f>
        <v/>
      </c>
      <c r="C24" s="4" t="n">
        <v>205759.2789404255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206170.7789404255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209403.3580630757</v>
      </c>
    </row>
    <row r="28">
      <c r="A28" t="inlineStr">
        <is>
          <t>Value per share (USD)</t>
        </is>
      </c>
      <c r="B28" s="4">
        <f>B27/Inputs!$B$30</f>
        <v/>
      </c>
      <c r="C28" s="4" t="n">
        <v>48.6758154493435</v>
      </c>
    </row>
    <row r="29">
      <c r="A29" t="inlineStr">
        <is>
          <t>Upside vs share price</t>
        </is>
      </c>
      <c r="B29" s="6">
        <f>B28/Inputs!$B$31-1</f>
        <v/>
      </c>
      <c r="C29" s="6" t="n">
        <v>-0.4598777856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2026-10-15T08:19:57Z</dcterms:created>
  <dcterms:modified xmlns:dcterms="http://purl.org/dc/terms/" xmlns:xsi="http://www.w3.org/2001/XMLSchema-instance" xsi:type="dcterms:W3CDTF">2026-10-15T08:19:57Z</dcterms:modified>
</cp:coreProperties>
</file>