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0.04759004187363835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39539.5</v>
      </c>
      <c r="C20" t="inlineStr">
        <is>
          <t>Listed equity stakes at run-date (13 Oct 2026) market value, the 39,539.5 inside 'associates' (data/associates_rollforward_check.csv, Yahoo/FRED). Added by the evidence audit 15 Oct 2026: KO was valued before the desk learned to keep run-date values out of the roll-forward (mistakes log row 24)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46625.5</v>
      </c>
      <c r="C26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14000</v>
      </c>
      <c r="C29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0.01</v>
      </c>
      <c r="E2" s="3" t="n">
        <v>0.01</v>
      </c>
      <c r="F2" s="3" t="n">
        <v>0.01</v>
      </c>
      <c r="G2" s="3" t="n">
        <v>0.01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48874.27955176023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16221.86212602474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11584.80613489419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8350.632635142447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0.0777822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0.075457365432</v>
      </c>
    </row>
    <row r="20">
      <c r="A20" t="inlineStr">
        <is>
          <t>Sum of PV of FCF</t>
        </is>
      </c>
      <c r="B20" s="4">
        <f>SUM(C15:G15)</f>
        <v/>
      </c>
      <c r="C20" s="4" t="n">
        <v>47744.33707924385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11689.65409092594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210786.322066803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151940.3190348483</v>
      </c>
    </row>
    <row r="24">
      <c r="A24" t="inlineStr">
        <is>
          <t>Enterprise value</t>
        </is>
      </c>
      <c r="B24" s="4">
        <f>B20+B23</f>
        <v/>
      </c>
      <c r="C24" s="4" t="n">
        <v>199684.6561140922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200096.1561140922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202961.5272649129</v>
      </c>
    </row>
    <row r="28">
      <c r="A28" t="inlineStr">
        <is>
          <t>Value per share (USD)</t>
        </is>
      </c>
      <c r="B28" s="4">
        <f>B27/Inputs!$B$30</f>
        <v/>
      </c>
      <c r="C28" s="4" t="n">
        <v>47.17841173057018</v>
      </c>
    </row>
    <row r="29">
      <c r="A29" t="inlineStr">
        <is>
          <t>Upside vs share price</t>
        </is>
      </c>
      <c r="B29" s="6">
        <f>B28/Inputs!$B$31-1</f>
        <v/>
      </c>
      <c r="C29" s="6" t="n">
        <v>-0.4764934499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2026-10-15T08:19:51Z</dcterms:created>
  <dcterms:modified xmlns:dcterms="http://purl.org/dc/terms/" xmlns:xsi="http://www.w3.org/2001/XMLSchema-instance" xsi:type="dcterms:W3CDTF">2026-10-15T08:19:51Z</dcterms:modified>
</cp:coreProperties>
</file>