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</v>
      </c>
      <c r="C3" t="inlineStr">
        <is>
          <t>BEAR SCRATCH SCENARIO ONLY, not the base: FY24 comparable operating margin 30.0%, Q4 2024 8-K 0000021344-25-000005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0.04578653594771242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15858.60664266774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11347.21283823057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8179.369144505846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44797.16755471312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11427.88815344685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206066.1927306906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148537.92579518</v>
      </c>
    </row>
    <row r="24">
      <c r="A24" t="inlineStr">
        <is>
          <t>Enterprise value</t>
        </is>
      </c>
      <c r="B24" s="4">
        <f>B20+B23</f>
        <v/>
      </c>
      <c r="C24" s="4" t="n">
        <v>193335.0933498931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193746.5933498931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196228.1365444269</v>
      </c>
    </row>
    <row r="28">
      <c r="A28" t="inlineStr">
        <is>
          <t>Value per share (USD)</t>
        </is>
      </c>
      <c r="B28" s="4">
        <f>B27/Inputs!$B$30</f>
        <v/>
      </c>
      <c r="C28" s="4" t="n">
        <v>45.61323490107551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-0.4938611461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2026-10-15T08:19:50Z</dcterms:created>
  <dcterms:modified xmlns:dcterms="http://purl.org/dc/terms/" xmlns:xsi="http://www.w3.org/2001/XMLSchema-instance" xsi:type="dcterms:W3CDTF">2026-10-15T08:19:50Z</dcterms:modified>
</cp:coreProperties>
</file>