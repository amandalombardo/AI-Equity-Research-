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</v>
      </c>
      <c r="C3" t="inlineStr">
        <is>
          <t>BEAR SCRATCH SCENARIO ONLY, not the base: FY24 comparable operating margin 30.0%, Q4 2024 8-K 0000021344-25-000005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0.04578653594771242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15708.99714603881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11240.16366051141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8102.205284652017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44333.21332962464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11320.0778878483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204122.172044552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147136.624608433</v>
      </c>
    </row>
    <row r="24">
      <c r="A24" t="inlineStr">
        <is>
          <t>Enterprise value</t>
        </is>
      </c>
      <c r="B24" s="4">
        <f>B20+B23</f>
        <v/>
      </c>
      <c r="C24" s="4" t="n">
        <v>191469.8379380576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191881.3379380576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194250.1273573685</v>
      </c>
    </row>
    <row r="28">
      <c r="A28" t="inlineStr">
        <is>
          <t>Value per share (USD)</t>
        </is>
      </c>
      <c r="B28" s="4">
        <f>B27/Inputs!$B$30</f>
        <v/>
      </c>
      <c r="C28" s="4" t="n">
        <v>45.15344661956497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-0.498963102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2026-10-15T12:12:34Z</dcterms:created>
  <dcterms:modified xmlns:dcterms="http://purl.org/dc/terms/" xmlns:xsi="http://www.w3.org/2001/XMLSchema-instance" xsi:type="dcterms:W3CDTF">2026-10-15T12:12:34Z</dcterms:modified>
</cp:coreProperties>
</file>