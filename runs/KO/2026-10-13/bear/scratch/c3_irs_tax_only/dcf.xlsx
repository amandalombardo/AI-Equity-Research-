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0.199</v>
      </c>
      <c r="C4" t="inlineStr">
        <is>
          <t>BEAR SCRATCH SCENARIO ONLY, not the base: 19.9% only, liability kept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0.04852430705882352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(US 10y)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Net debt (USD m)</t>
        </is>
      </c>
      <c r="B19" s="2" t="n">
        <v>29686</v>
      </c>
      <c r="C19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0">
      <c r="A20" t="inlineStr">
        <is>
          <t>Lease liabilities not in net debt (USD m)</t>
        </is>
      </c>
      <c r="B20" s="2" t="n">
        <v>1722</v>
      </c>
      <c r="C20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1">
      <c r="A21" t="inlineStr">
        <is>
          <t>Minority interests at book (USD m)</t>
        </is>
      </c>
      <c r="B21" s="2" t="n">
        <v>2106</v>
      </c>
      <c r="C21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2">
      <c r="A22" t="inlineStr">
        <is>
          <t>Minorities' share of operating profit (proportionate method; blank = use book)</t>
        </is>
      </c>
      <c r="B22" s="2" t="n"/>
      <c r="C22" t="inlineStr">
        <is>
          <t>PM assumption (briefs/KO.yaml)</t>
        </is>
      </c>
    </row>
    <row r="23">
      <c r="A23" t="inlineStr">
        <is>
          <t>Pension deficit (USD m)</t>
        </is>
      </c>
      <c r="B23" s="2" t="n">
        <v>0</v>
      </c>
      <c r="C23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4">
      <c r="A24" t="inlineStr">
        <is>
          <t>Associates and equity stakes (USD m)</t>
        </is>
      </c>
      <c r="B24" s="2" t="n">
        <v>46625.5</v>
      </c>
      <c r="C24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5">
      <c r="A25" t="inlineStr">
        <is>
          <t>Disposal proceeds not in net debt (USD m)</t>
        </is>
      </c>
      <c r="B25" s="2" t="n">
        <v>1300</v>
      </c>
      <c r="C25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6">
      <c r="A26" t="inlineStr">
        <is>
          <t>Restructuring cash still to pay (USD m)</t>
        </is>
      </c>
      <c r="B26" s="2" t="n">
        <v>0</v>
      </c>
      <c r="C26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7">
      <c r="A27" t="inlineStr">
        <is>
          <t>Contingent liabilities assumed paid, e.g. a lost tax case (USD m)</t>
        </is>
      </c>
      <c r="B27" s="2" t="n">
        <v>14000</v>
      </c>
      <c r="C27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28">
      <c r="A28" t="inlineStr">
        <is>
          <t>Ordinary shares (m)</t>
        </is>
      </c>
      <c r="B28" s="2" t="n">
        <v>4302</v>
      </c>
      <c r="C28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29">
      <c r="A29" t="inlineStr">
        <is>
          <t>Share price (USD)</t>
        </is>
      </c>
      <c r="B29" s="2" t="n">
        <v>90.12000274658203</v>
      </c>
      <c r="C29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17545.43376922617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13300.98841902524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9401.944057940331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0.08265499999999999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0.0473391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0.080143333192</v>
      </c>
    </row>
    <row r="20">
      <c r="A20" t="inlineStr">
        <is>
          <t>Sum of PV of FCF</t>
        </is>
      </c>
      <c r="B20" s="4">
        <f>SUM(C15:G15)</f>
        <v/>
      </c>
      <c r="C20" s="4" t="n">
        <v>51942.51242935248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13273.1206464196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220691.4705582884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155998.0953961069</v>
      </c>
    </row>
    <row r="24">
      <c r="A24" t="inlineStr">
        <is>
          <t>Enterprise value</t>
        </is>
      </c>
      <c r="B24" s="4">
        <f>B20+B23</f>
        <v/>
      </c>
      <c r="C24" s="4" t="n">
        <v>207940.6078254594</v>
      </c>
    </row>
    <row r="25">
      <c r="A25" t="inlineStr">
        <is>
          <t>Minority interests deducted</t>
        </is>
      </c>
      <c r="B25" s="4">
        <f>IF(ISBLANK(Inputs!$B$22),Inputs!$B$21,Inputs!$B$22*B24)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B24-Inputs!$B$19-Inputs!$B$20-B25-Inputs!$B$23-Inputs!$B$26-Inputs!$B$27+Inputs!$B$24+Inputs!$B$25</f>
        <v/>
      </c>
      <c r="C26" s="4" t="n">
        <v>208352.1078254594</v>
      </c>
    </row>
    <row r="27">
      <c r="A27" t="inlineStr">
        <is>
          <t>Equity value at valuation date</t>
        </is>
      </c>
      <c r="B27" s="4">
        <f>B26*(1+B17)^Inputs!$B$17-Inputs!$B$18</f>
        <v/>
      </c>
      <c r="C27" s="4" t="n">
        <v>214889.0306766008</v>
      </c>
    </row>
    <row r="28">
      <c r="A28" t="inlineStr">
        <is>
          <t>Value per share (USD)</t>
        </is>
      </c>
      <c r="B28" s="4">
        <f>B27/Inputs!$B$28</f>
        <v/>
      </c>
      <c r="C28" s="4" t="n">
        <v>49.95096017587187</v>
      </c>
    </row>
    <row r="29">
      <c r="A29" t="inlineStr">
        <is>
          <t>Upside vs share price</t>
        </is>
      </c>
      <c r="B29" s="6">
        <f>B28/Inputs!$B$29-1</f>
        <v/>
      </c>
      <c r="C29" s="6" t="n">
        <v>-0.4457283771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2026-10-13T18:19:37Z</dcterms:created>
  <dcterms:modified xmlns:dcterms="http://purl.org/dc/terms/" xmlns:xsi="http://www.w3.org/2001/XMLSchema-instance" xsi:type="dcterms:W3CDTF">2026-10-13T18:19:37Z</dcterms:modified>
</cp:coreProperties>
</file>