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0.33191</v>
      </c>
      <c r="C3" t="inlineStr">
        <is>
          <t>(comparable operating income 15,013 - CCBA EBIT 266.2) / (comparable revenues 48,062 - CCBA 3632.3); Q4 2025 8-K 0001628280-26-006642 +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rule: held flat. PM decision 2026-10-13</t>
        </is>
      </c>
    </row>
    <row r="4">
      <c r="A4" t="inlineStr">
        <is>
          <t>Tax rate</t>
        </is>
      </c>
      <c r="B4" s="2" t="n">
        <v>0.237</v>
      </c>
      <c r="C4" t="inlineStr">
        <is>
          <t>PM decision (IRS case assumed lost): 19.9% underlying effective tax rate, FY26 guidance (KO Q2 2026 results 8-K ex.99.1 (accession 0001628280-26-049922, https://www.sec.gov/Archives/edgar/data/21344/000162828026049922/a2026q2earningsreleaseex-9.htm), outlook table) + 3.8 points if the Tax Court methodology keeps applying (KO Q2 2026 10-Q (accession 0001628280-26-050503, https://www.sec.gov/Archives/edgar/data/21344/000162828026050503/ko-20260703.htm) Note 9 Commitments and Contingencies (brief says note 12): 'would increase the Company's effective tax rate by approximately 3.8%')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0.04759004187363834</v>
      </c>
      <c r="C7" t="inlineStr">
        <is>
          <t>PM rule: return on new investment 27.0%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(US 10y)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0.6091</v>
      </c>
      <c r="C12" t="inlineStr">
        <is>
          <t>Risk agent, bottom-up: unlevered beta 0.5755 from Damodaran, Betas by Sector (US), betas.xls 'Industry Averages' updated 2026-01-05 (https://pages.stern.nyu.edu/~adamodar/pc/datasets/betas.xls; file supplied by the PM 2026-10-13, saved as data/damodaran_betas_us_jan2026.xls), row 'Beverage (Soft)', 27 firms, unlevered beta corrected for cash; relevered (Hamada) at KO market D/E 0.0766, tax 23.7%. See risk/beta_evidence.json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Net debt (USD m)</t>
        </is>
      </c>
      <c r="B19" s="2" t="n">
        <v>29686</v>
      </c>
      <c r="C19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0">
      <c r="A20" t="inlineStr">
        <is>
          <t>Lease liabilities not in net debt (USD m)</t>
        </is>
      </c>
      <c r="B20" s="2" t="n">
        <v>1722</v>
      </c>
      <c r="C20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1">
      <c r="A21" t="inlineStr">
        <is>
          <t>Minority interests at book (USD m)</t>
        </is>
      </c>
      <c r="B21" s="2" t="n">
        <v>2106</v>
      </c>
      <c r="C21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2">
      <c r="A22" t="inlineStr">
        <is>
          <t>Minorities' share of operating profit (proportionate method; blank = use book)</t>
        </is>
      </c>
      <c r="B22" s="2" t="n"/>
      <c r="C22" t="inlineStr">
        <is>
          <t>PM assumption (briefs/KO.yaml)</t>
        </is>
      </c>
    </row>
    <row r="23">
      <c r="A23" t="inlineStr">
        <is>
          <t>Pension deficit (USD m)</t>
        </is>
      </c>
      <c r="B23" s="2" t="n">
        <v>0</v>
      </c>
      <c r="C23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4">
      <c r="A24" t="inlineStr">
        <is>
          <t>Associates and equity stakes (USD m)</t>
        </is>
      </c>
      <c r="B24" s="2" t="n">
        <v>41261.995</v>
      </c>
      <c r="C24" t="inlineStr">
        <is>
          <t>BEAR SCRATCH SCENARIO ONLY, not the base: listed stakes net of 21% tax on gain over book</t>
        </is>
      </c>
    </row>
    <row r="25">
      <c r="A25" t="inlineStr">
        <is>
          <t>Disposal proceeds not in net debt (USD m)</t>
        </is>
      </c>
      <c r="B25" s="2" t="n">
        <v>1300</v>
      </c>
      <c r="C25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6">
      <c r="A26" t="inlineStr">
        <is>
          <t>Restructuring cash still to pay (USD m)</t>
        </is>
      </c>
      <c r="B26" s="2" t="n">
        <v>0</v>
      </c>
      <c r="C26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7">
      <c r="A27" t="inlineStr">
        <is>
          <t>Contingent liabilities assumed paid, e.g. a lost tax case (USD m)</t>
        </is>
      </c>
      <c r="B27" s="2" t="n">
        <v>14000</v>
      </c>
      <c r="C27" t="inlineStr">
        <is>
          <t>Potential IRS tax and interest 2010-2025 at 31 Dec 2025, KO FY25 10-K (accession 0001628280-26-010047; XBRL ko:IncrementalTaxAndInterestLiability = 14,000m). PM decision 2026-10-13: assume KO loses; H1 2026 accrual (USD 900m, Q2 2026 10-Q) excluded because the 23.7% tax rate already charges 2026 onwards (mistakes log row 17)</t>
        </is>
      </c>
    </row>
    <row r="28">
      <c r="A28" t="inlineStr">
        <is>
          <t>Ordinary shares (m)</t>
        </is>
      </c>
      <c r="B28" s="2" t="n">
        <v>4302</v>
      </c>
      <c r="C28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29">
      <c r="A29" t="inlineStr">
        <is>
          <t>Share price (USD)</t>
        </is>
      </c>
      <c r="B29" s="2" t="n">
        <v>90.12000274658203</v>
      </c>
      <c r="C29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0.06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52862.02214222582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17545.43376922617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12634.26193579465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8936.606437882856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0.08265499999999999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0.0450933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0.07998361189599999</v>
      </c>
    </row>
    <row r="20">
      <c r="A20" t="inlineStr">
        <is>
          <t>Sum of PV of FCF</t>
        </is>
      </c>
      <c r="B20" s="4">
        <f>SUM(C15:G15)</f>
        <v/>
      </c>
      <c r="C20" s="4" t="n">
        <v>49362.739673712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12643.43452336848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210781.4805365465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149092.297240781</v>
      </c>
    </row>
    <row r="24">
      <c r="A24" t="inlineStr">
        <is>
          <t>Enterprise value</t>
        </is>
      </c>
      <c r="B24" s="4">
        <f>B20+B23</f>
        <v/>
      </c>
      <c r="C24" s="4" t="n">
        <v>198455.036914493</v>
      </c>
    </row>
    <row r="25">
      <c r="A25" t="inlineStr">
        <is>
          <t>Minority interests deducted</t>
        </is>
      </c>
      <c r="B25" s="4">
        <f>IF(ISBLANK(Inputs!$B$22),Inputs!$B$21,Inputs!$B$22*B24)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B24-Inputs!$B$19-Inputs!$B$20-B25-Inputs!$B$23-Inputs!$B$26-Inputs!$B$27+Inputs!$B$24+Inputs!$B$25</f>
        <v/>
      </c>
      <c r="C26" s="4" t="n">
        <v>193503.031914493</v>
      </c>
    </row>
    <row r="27">
      <c r="A27" t="inlineStr">
        <is>
          <t>Equity value at valuation date</t>
        </is>
      </c>
      <c r="B27" s="4">
        <f>B26*(1+B17)^Inputs!$B$17-Inputs!$B$18</f>
        <v/>
      </c>
      <c r="C27" s="4" t="n">
        <v>199086.578700664</v>
      </c>
    </row>
    <row r="28">
      <c r="A28" t="inlineStr">
        <is>
          <t>Value per share (USD)</t>
        </is>
      </c>
      <c r="B28" s="4">
        <f>B27/Inputs!$B$28</f>
        <v/>
      </c>
      <c r="C28" s="4" t="n">
        <v>46.27767984673734</v>
      </c>
    </row>
    <row r="29">
      <c r="A29" t="inlineStr">
        <is>
          <t>Upside vs share price</t>
        </is>
      </c>
      <c r="B29" s="6">
        <f>B28/Inputs!$B$29-1</f>
        <v/>
      </c>
      <c r="C29" s="6" t="n">
        <v>-0.4864882553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2026-10-13T18:19:38Z</dcterms:created>
  <dcterms:modified xmlns:dcterms="http://purl.org/dc/terms/" xmlns:xsi="http://www.w3.org/2001/XMLSchema-instance" xsi:type="dcterms:W3CDTF">2026-10-13T18:19:38Z</dcterms:modified>
</cp:coreProperties>
</file>