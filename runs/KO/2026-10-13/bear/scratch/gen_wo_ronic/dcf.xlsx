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0.33191</v>
      </c>
      <c r="C3" t="inlineStr">
        <is>
          <t>(comparable operating income 15,013 - CCBA EBIT 266.2) / (comparable revenues 48,062 - CCBA 3632.3); Q4 2025 8-K 0001628280-26-006642 +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rule: held flat. PM decision 2026-10-13</t>
        </is>
      </c>
    </row>
    <row r="4">
      <c r="A4" t="inlineStr">
        <is>
          <t>Tax rate</t>
        </is>
      </c>
      <c r="B4" s="2" t="n">
        <v>0.199</v>
      </c>
      <c r="C4" t="inlineStr">
        <is>
          <t>BEAR SCRATCH SCENARIO ONLY, not the base: 19.9%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0.05934717446601941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(10-year government bond in USD, the cash-flow currency)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0.3457</v>
      </c>
      <c r="C12" t="inlineStr">
        <is>
          <t>BEAR SCRATCH SCENARIO ONLY, not the base: 5y weekly regression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0.03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Share buybacks after the balance sheet date (USD m)</t>
        </is>
      </c>
      <c r="B19" s="2" t="n">
        <v>0</v>
      </c>
      <c r="C19" t="inlineStr">
        <is>
          <t>not in this brief's bridge (0)</t>
        </is>
      </c>
    </row>
    <row r="20">
      <c r="A20" t="inlineStr">
        <is>
          <t>Bridge items already priced at the valuation date, not grown (USD m)</t>
        </is>
      </c>
      <c r="B20" s="2" t="n">
        <v>39539.5</v>
      </c>
      <c r="C20" t="inlineStr">
        <is>
          <t>Listed equity stakes at run-date (13 Oct 2026) market value, the 39,539.5 inside 'associates' (data/associates_rollforward_check.csv, Yahoo/FRED). Added by the evidence audit 15 Oct 2026: KO was valued before the desk learned to keep run-date values out of the roll-forward (mistakes log row 24)</t>
        </is>
      </c>
    </row>
    <row r="21">
      <c r="A21" t="inlineStr">
        <is>
          <t>Net debt (USD m)</t>
        </is>
      </c>
      <c r="B21" s="2" t="n">
        <v>29686</v>
      </c>
      <c r="C21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2">
      <c r="A22" t="inlineStr">
        <is>
          <t>Lease liabilities not in net debt (USD m)</t>
        </is>
      </c>
      <c r="B22" s="2" t="n">
        <v>1722</v>
      </c>
      <c r="C22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3">
      <c r="A23" t="inlineStr">
        <is>
          <t>Minority interests at book (USD m)</t>
        </is>
      </c>
      <c r="B23" s="2" t="n">
        <v>2106</v>
      </c>
      <c r="C23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4">
      <c r="A24" t="inlineStr">
        <is>
          <t>Minorities' share of operating profit (proportionate method; blank = use book)</t>
        </is>
      </c>
      <c r="B24" s="2" t="n"/>
      <c r="C24" t="inlineStr">
        <is>
          <t>PM assumption (briefs/KO.yaml)</t>
        </is>
      </c>
    </row>
    <row r="25">
      <c r="A25" t="inlineStr">
        <is>
          <t>Pension deficit (USD m)</t>
        </is>
      </c>
      <c r="B25" s="2" t="n">
        <v>0</v>
      </c>
      <c r="C25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6">
      <c r="A26" t="inlineStr">
        <is>
          <t>Associates and equity stakes (USD m)</t>
        </is>
      </c>
      <c r="B26" s="2" t="n">
        <v>52625.5</v>
      </c>
      <c r="C26" t="inlineStr">
        <is>
          <t>BEAR SCRATCH SCENARIO ONLY, not the base: deposit refunded</t>
        </is>
      </c>
    </row>
    <row r="27">
      <c r="A27" t="inlineStr">
        <is>
          <t>Disposal proceeds not in net debt (USD m)</t>
        </is>
      </c>
      <c r="B27" s="2" t="n">
        <v>1300</v>
      </c>
      <c r="C27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8">
      <c r="A28" t="inlineStr">
        <is>
          <t>Restructuring cash still to pay (USD m)</t>
        </is>
      </c>
      <c r="B28" s="2" t="n">
        <v>0</v>
      </c>
      <c r="C28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9">
      <c r="A29" t="inlineStr">
        <is>
          <t>Contingent liabilities assumed paid, e.g. a lost tax case (USD m)</t>
        </is>
      </c>
      <c r="B29" s="2" t="n">
        <v>0</v>
      </c>
      <c r="C29" t="inlineStr">
        <is>
          <t>BEAR SCRATCH SCENARIO ONLY, not the base: IRS win</t>
        </is>
      </c>
    </row>
    <row r="30">
      <c r="A30" t="inlineStr">
        <is>
          <t>Ordinary shares (m)</t>
        </is>
      </c>
      <c r="B30" s="2" t="n">
        <v>4302</v>
      </c>
      <c r="C30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31">
      <c r="A31" t="inlineStr">
        <is>
          <t>Share price (USD)</t>
        </is>
      </c>
      <c r="B31" s="2" t="n">
        <v>90.12000274658203</v>
      </c>
      <c r="C31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0.06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52862.02214222582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17545.43376922617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13300.98841902524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10004.2582803355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0.0667194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0.0473391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0.065341073064</v>
      </c>
    </row>
    <row r="20">
      <c r="A20" t="inlineStr">
        <is>
          <t>Sum of PV of FCF</t>
        </is>
      </c>
      <c r="B20" s="4">
        <f>SUM(C15:G15)</f>
        <v/>
      </c>
      <c r="C20" s="4" t="n">
        <v>53701.97370499204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12867.1193089997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364084.001798653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273843.5877834401</v>
      </c>
    </row>
    <row r="24">
      <c r="A24" t="inlineStr">
        <is>
          <t>Enterprise value</t>
        </is>
      </c>
      <c r="B24" s="4">
        <f>B20+B23</f>
        <v/>
      </c>
      <c r="C24" s="4" t="n">
        <v>327545.5614884321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347957.0614884321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357127.1352350382</v>
      </c>
    </row>
    <row r="28">
      <c r="A28" t="inlineStr">
        <is>
          <t>Value per share (USD)</t>
        </is>
      </c>
      <c r="B28" s="4">
        <f>B27/Inputs!$B$30</f>
        <v/>
      </c>
      <c r="C28" s="4" t="n">
        <v>83.01421088680573</v>
      </c>
    </row>
    <row r="29">
      <c r="A29" t="inlineStr">
        <is>
          <t>Upside vs share price</t>
        </is>
      </c>
      <c r="B29" s="6">
        <f>B28/Inputs!$B$31-1</f>
        <v/>
      </c>
      <c r="C29" s="6" t="n">
        <v>-0.0788481097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2026-10-15T08:19:57Z</dcterms:created>
  <dcterms:modified xmlns:dcterms="http://purl.org/dc/terms/" xmlns:xsi="http://www.w3.org/2001/XMLSchema-instance" xsi:type="dcterms:W3CDTF">2026-10-15T08:19:57Z</dcterms:modified>
</cp:coreProperties>
</file>