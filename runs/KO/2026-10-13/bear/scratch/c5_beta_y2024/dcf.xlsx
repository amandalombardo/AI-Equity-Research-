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0.740893540608044</v>
      </c>
      <c r="C12" t="inlineStr">
        <is>
          <t>BEAR SCRATCH SCENARIO ONLY, not the base: Damodaran soft-beverage unlevered 0.7 x 1.0584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8712.190873795687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0.0892446770304022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0.086104631096</v>
      </c>
    </row>
    <row r="20">
      <c r="A20" t="inlineStr">
        <is>
          <t>Sum of PV of FCF</t>
        </is>
      </c>
      <c r="B20" s="4">
        <f>SUM(C15:G15)</f>
        <v/>
      </c>
      <c r="C20" s="4" t="n">
        <v>48699.14380044235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191263.9752123741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131889.6400754671</v>
      </c>
    </row>
    <row r="24">
      <c r="A24" t="inlineStr">
        <is>
          <t>Enterprise value</t>
        </is>
      </c>
      <c r="B24" s="4">
        <f>B20+B23</f>
        <v/>
      </c>
      <c r="C24" s="4" t="n">
        <v>180588.7838759095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181000.2838759095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186699.1466810021</v>
      </c>
    </row>
    <row r="28">
      <c r="A28" t="inlineStr">
        <is>
          <t>Value per share (USD)</t>
        </is>
      </c>
      <c r="B28" s="4">
        <f>B27/Inputs!$B$28</f>
        <v/>
      </c>
      <c r="C28" s="4" t="n">
        <v>43.39822098582104</v>
      </c>
    </row>
    <row r="29">
      <c r="A29" t="inlineStr">
        <is>
          <t>Upside vs share price</t>
        </is>
      </c>
      <c r="B29" s="6">
        <f>B28/Inputs!$B$29-1</f>
        <v/>
      </c>
      <c r="C29" s="6" t="n">
        <v>-0.5184396398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2026-10-13T18:19:39Z</dcterms:created>
  <dcterms:modified xmlns:dcterms="http://purl.org/dc/terms/" xmlns:xsi="http://www.w3.org/2001/XMLSchema-instance" xsi:type="dcterms:W3CDTF">2026-10-13T18:19:39Z</dcterms:modified>
</cp:coreProperties>
</file>