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0.04759004187363834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0.3457</v>
      </c>
      <c r="C12" t="inlineStr">
        <is>
          <t>BEAR SCRATCH SCENARIO ONLY, not the base: KO 5y weekly regression (risk.json)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12634.26193579465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9509.197791601118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0.0667194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0.065181351768</v>
      </c>
    </row>
    <row r="20">
      <c r="A20" t="inlineStr">
        <is>
          <t>Sum of PV of FCF</t>
        </is>
      </c>
      <c r="B20" s="4">
        <f>SUM(C15:G15)</f>
        <v/>
      </c>
      <c r="C20" s="4" t="n">
        <v>51035.10648310421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12643.43452336848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279837.4556894794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210620.1160916729</v>
      </c>
    </row>
    <row r="24">
      <c r="A24" t="inlineStr">
        <is>
          <t>Enterprise value</t>
        </is>
      </c>
      <c r="B24" s="4">
        <f>B20+B23</f>
        <v/>
      </c>
      <c r="C24" s="4" t="n">
        <v>261655.2225747771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262066.7225747771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266778.1402333188</v>
      </c>
    </row>
    <row r="28">
      <c r="A28" t="inlineStr">
        <is>
          <t>Value per share (USD)</t>
        </is>
      </c>
      <c r="B28" s="4">
        <f>B27/Inputs!$B$30</f>
        <v/>
      </c>
      <c r="C28" s="4" t="n">
        <v>62.01258489849346</v>
      </c>
    </row>
    <row r="29">
      <c r="A29" t="inlineStr">
        <is>
          <t>Upside vs share price</t>
        </is>
      </c>
      <c r="B29" s="6">
        <f>B28/Inputs!$B$31-1</f>
        <v/>
      </c>
      <c r="C29" s="6" t="n">
        <v>-0.3118887815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2026-10-15T08:19:55Z</dcterms:created>
  <dcterms:modified xmlns:dcterms="http://purl.org/dc/terms/" xmlns:xsi="http://www.w3.org/2001/XMLSchema-instance" xsi:type="dcterms:W3CDTF">2026-10-15T08:19:55Z</dcterms:modified>
</cp:coreProperties>
</file>