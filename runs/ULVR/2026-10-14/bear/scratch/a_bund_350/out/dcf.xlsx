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0.035</v>
      </c>
      <c r="C10" t="inlineStr">
        <is>
          <t>BEAR SCRATCH (bear/run_bear.py): Bund 3.50% on 9 Oct 2026 (thetrading.tools, brief risk_free comment); moves Ke and Kd. Base value was 0.0345; base source: 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0.042</v>
      </c>
      <c r="C13" t="inlineStr">
        <is>
          <t>risk-free 3.50%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7496.3</v>
      </c>
      <c r="C26" t="inlineStr">
        <is>
          <t>BEAR SCRATCH (bear/run_bear.py): JVs by Gordon growth at Ke 7.2145% and g 1.6% = 4,144.0 (apply_pm_decision10.py formula). Base value was 7533.5;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4141.145547337038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0.07214480000000001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0.03108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0.06551899452000001</v>
      </c>
    </row>
    <row r="20">
      <c r="A20" t="inlineStr">
        <is>
          <t>Sum of PV of FCF</t>
        </is>
      </c>
      <c r="B20" s="4">
        <f>SUM(C15:G15)</f>
        <v/>
      </c>
      <c r="C20" s="4" t="n">
        <v>22843.06684470108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105806.585310246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79522.0040473125</v>
      </c>
    </row>
    <row r="24">
      <c r="A24" t="inlineStr">
        <is>
          <t>Enterprise value</t>
        </is>
      </c>
      <c r="B24" s="4">
        <f>B20+B23</f>
        <v/>
      </c>
      <c r="C24" s="4" t="n">
        <v>102365.0708920136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10936.68417410273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107962.4867179109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107510.712208623</v>
      </c>
    </row>
    <row r="28">
      <c r="A28" t="inlineStr">
        <is>
          <t>Value per share (EUR)</t>
        </is>
      </c>
      <c r="B28" s="4">
        <f>B27/Inputs!$B$30</f>
        <v/>
      </c>
      <c r="C28" s="4" t="n">
        <v>49.90453223577873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4222.401007748669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-0.1036193594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2026-10-15T11:57:27Z</dcterms:created>
  <dcterms:modified xmlns:dcterms="http://purl.org/dc/terms/" xmlns:xsi="http://www.w3.org/2001/XMLSchema-instance" xsi:type="dcterms:W3CDTF">2026-10-15T11:57:27Z</dcterms:modified>
</cp:coreProperties>
</file>