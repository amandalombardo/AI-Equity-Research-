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0.02771078718966561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0.002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35890.5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0</v>
      </c>
      <c r="C25" t="inlineStr">
        <is>
          <t>Brief rule (0 if in surplus): net SURPLUS EUR 3,518m at 31 Dec 2025 (Unilever FY25 Form 20-F (SEC accession 0000217410-26-000007, filed 12 Mar 2026, https://www.sec.gov/Archives/edgar/data/217410/000021741026000007/ul-20251231.htm) p.43 and note 4B; XBRL ifrs-full:LiabilityAssetOfDefinedBenefitPlans = -3,518); gross deficit plans 944 (funded in deficit 100 + unfunded 844, p.131) are inside that net figure. 30 Jun 2026: surplus 3.7bn (Unilever H1 2026 results 6-K (accession 0000217410-26-000057, 28 Jul 2026, https://www.sec.gov/Archives/edgar/data/217410/000021741026000057/ul-20260630.htm)).</t>
        </is>
      </c>
    </row>
    <row r="26">
      <c r="A26" t="inlineStr">
        <is>
          <t>Associates and equity stakes (EUR m)</t>
        </is>
      </c>
      <c r="B26" s="2" t="n">
        <v>5998.2</v>
      </c>
      <c r="C26" t="inlineStr">
        <is>
          <t>BEAR SCRATCH (bear/run_bear.py): JVs by Gordon growth at Ke 8.8720% and g 0.2% = 2,646.0 (apply_pm_decision10.py formula). Base value was 7061.8; base source: 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</t>
        </is>
      </c>
    </row>
    <row r="27">
      <c r="A27" t="inlineStr">
        <is>
          <t>Disposal proceeds not in net debt (EUR m)</t>
        </is>
      </c>
      <c r="B27" s="2" t="n">
        <v>33955.3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0.005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42624.24506962581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7544.491377323768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5428.899063728622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3987.561070822048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0.07872000000000001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0.0709735865</v>
      </c>
    </row>
    <row r="20">
      <c r="A20" t="inlineStr">
        <is>
          <t>Sum of PV of FCF</t>
        </is>
      </c>
      <c r="B20" s="4">
        <f>SUM(C15:G15)</f>
        <v/>
      </c>
      <c r="C20" s="4" t="n">
        <v>22165.44187139205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5531.234528632654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80193.51768278216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58902.65143823026</v>
      </c>
    </row>
    <row r="24">
      <c r="A24" t="inlineStr">
        <is>
          <t>Enterprise value</t>
        </is>
      </c>
      <c r="B24" s="4">
        <f>B20+B23</f>
        <v/>
      </c>
      <c r="C24" s="4" t="n">
        <v>81068.09330962232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8661.315089200049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88784.27822042227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87485.77508493047</v>
      </c>
    </row>
    <row r="28">
      <c r="A28" t="inlineStr">
        <is>
          <t>Value per share (EUR)</t>
        </is>
      </c>
      <c r="B28" s="4">
        <f>B27/Inputs!$B$30</f>
        <v/>
      </c>
      <c r="C28" s="4" t="n">
        <v>40.60931783640278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3435.936915434699</v>
      </c>
    </row>
    <row r="30">
      <c r="A30" t="inlineStr">
        <is>
          <t>Upside vs share price</t>
        </is>
      </c>
      <c r="B30" s="6">
        <f>B29/Inputs!$B$32-1</f>
        <v/>
      </c>
      <c r="C30" s="6" t="n">
        <v>-0.2705791497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2026-10-14T13:53:10Z</dcterms:created>
  <dcterms:modified xmlns:dcterms="http://purl.org/dc/terms/" xmlns:xsi="http://www.w3.org/2001/XMLSchema-instance" xsi:type="dcterms:W3CDTF">2026-10-14T13:53:10Z</dcterms:modified>
</cp:coreProperties>
</file>