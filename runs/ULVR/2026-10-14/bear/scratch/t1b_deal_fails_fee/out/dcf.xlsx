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50503</v>
      </c>
      <c r="C2" t="inlineStr">
        <is>
          <t>BEAR SCRATCH (bear/run_bear.py): deal fails: whole-group FY25 turnover 50,503 (FY25 results 6-K). Base value was 39803.0; base source: 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0.18847</v>
      </c>
      <c r="C3" t="inlineStr">
        <is>
          <t>BEAR SCRATCH (bear/run_bear.py): deal fails: group underlying margin 19.9671% (10,084/50,503) less FY23-25 average restructuring 1.1205% (margin evidence pack, same rule as decision 3).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0.04042288815358755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2310.4</v>
      </c>
      <c r="C20" t="inlineStr">
        <is>
          <t>BEAR SCRATCH (bear/run_bear.py): deal fails: only the TMICC stake (and any fee) is priced today. Base value was 35890.5;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0.07929</v>
      </c>
      <c r="C24" t="inlineStr">
        <is>
          <t>BEAR SCRATCH (bear/run_bear.py): deal fails: Group ratio 587/7,403 without the x10,084/7,484 ex-perimeter uplift (Fundamentals notes). Base value was 0.10684; base source: 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7061.8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375.2</v>
      </c>
      <c r="C27" t="inlineStr">
        <is>
          <t>BEAR SCRATCH (bear/run_bear.py): deal fails: no consideration; McCormick termination fee USD 420m (McCormick 10-Q 0000063754-26-000329 note 2) / 1.1193. Base value was 33955.3;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0</v>
      </c>
      <c r="C28" t="inlineStr">
        <is>
          <t>BEAR SCRATCH (bear/run_bear.py): deal fails: no stranded-cost restructuring (Form 425 slide 19 ties it to the sale). Base value was 500.0; base source: 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54082.66333571119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10192.95955888149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7347.360027446123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5396.682913945352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30002.46970338875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6974.623054996696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126872.2580979266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93188.48470376882</v>
      </c>
    </row>
    <row r="24">
      <c r="A24" t="inlineStr">
        <is>
          <t>Enterprise value</t>
        </is>
      </c>
      <c r="B24" s="4">
        <f>B20+B23</f>
        <v/>
      </c>
      <c r="C24" s="4" t="n">
        <v>123190.9544071576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9767.810774943524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97784.14363221404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99099.7435694196</v>
      </c>
    </row>
    <row r="28">
      <c r="A28" t="inlineStr">
        <is>
          <t>Value per share (EUR)</t>
        </is>
      </c>
      <c r="B28" s="4">
        <f>B27/Inputs!$B$30</f>
        <v/>
      </c>
      <c r="C28" s="4" t="n">
        <v>46.0003123960409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3892.066646374525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-0.1737465988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2026-10-14T13:53:06Z</dcterms:created>
  <dcterms:modified xmlns:dcterms="http://purl.org/dc/terms/" xmlns:xsi="http://www.w3.org/2001/XMLSchema-instance" xsi:type="dcterms:W3CDTF">2026-10-14T13:53:06Z</dcterms:modified>
</cp:coreProperties>
</file>