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0.0318</v>
      </c>
      <c r="C10" t="inlineStr">
        <is>
          <t>FRED IRLTLT01DEM156N (German 10-year Bund yield, OECD monthly average), latest month 2026-08-01 (Aug 2026 average 3.18%); PM decision 7: euro cash flows -&gt; Bund, not the gilt.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0.0388</v>
      </c>
      <c r="C13" t="inlineStr">
        <is>
          <t>risk-free 3.18%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35890.5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7228.7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7.6020% - 1.6%) = 3,876.4, cost of equity = risk-free 3.18%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4031.190822495119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0.07602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0.028712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0.0683868542</v>
      </c>
    </row>
    <row r="20">
      <c r="A20" t="inlineStr">
        <is>
          <t>Sum of PV of FCF</t>
        </is>
      </c>
      <c r="B20" s="4">
        <f>SUM(C15:G15)</f>
        <v/>
      </c>
      <c r="C20" s="4" t="n">
        <v>22294.53449265338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98543.52340345255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73172.80032233591</v>
      </c>
    </row>
    <row r="24">
      <c r="A24" t="inlineStr">
        <is>
          <t>Enterprise value</t>
        </is>
      </c>
      <c r="B24" s="4">
        <f>B20+B23</f>
        <v/>
      </c>
      <c r="C24" s="4" t="n">
        <v>95467.33481498928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10199.73005163346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102875.6047633558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102302.2443212835</v>
      </c>
    </row>
    <row r="28">
      <c r="A28" t="inlineStr">
        <is>
          <t>Value per share (EUR)</t>
        </is>
      </c>
      <c r="B28" s="4">
        <f>B27/Inputs!$B$30</f>
        <v/>
      </c>
      <c r="C28" s="4" t="n">
        <v>47.48685544578252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4017.842414427726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-0.1470454486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2026-10-14T10:04:58Z</dcterms:created>
  <dcterms:modified xmlns:dcterms="http://purl.org/dc/terms/" xmlns:xsi="http://www.w3.org/2001/XMLSchema-instance" xsi:type="dcterms:W3CDTF">2026-10-14T10:04:58Z</dcterms:modified>
</cp:coreProperties>
</file>