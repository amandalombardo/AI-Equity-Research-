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0.162</v>
      </c>
      <c r="C3" t="inlineStr">
        <is>
          <t>BEAR SCRATCH (bear/run_bear.py): bear margin. Base value was 0.177; base source: 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0.03866218702999204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31740.9</v>
      </c>
      <c r="C20" t="inlineStr">
        <is>
          <t>BEAR SCRATCH (bear/run_bear.py): tax and HUL are today amounts. Base value was 35247.6; base source: 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6896.6</v>
      </c>
      <c r="C26" t="inlineStr">
        <is>
          <t>BEAR SCRATCH (bear/run_bear.py): JVs by Gordon growth at Ke 8.1645% and g 1.6% = 3,544.3 (apply_pm_decision10.py formula). Base value was 7533.5; base source: 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4006.7</v>
      </c>
      <c r="C28" t="inlineStr">
        <is>
          <t>BEAR SCRATCH (bear/run_bear.py): 500 + 25% tax. Base value was 500.0; base source: 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7008.189308761164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5029.736659029742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3787.901410560399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20876.4286388407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4795.415742042904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97785.86202412412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73642.66358340452</v>
      </c>
    </row>
    <row r="24">
      <c r="A24" t="inlineStr">
        <is>
          <t>Enterprise value</t>
        </is>
      </c>
      <c r="B24" s="4">
        <f>B20+B23</f>
        <v/>
      </c>
      <c r="C24" s="4" t="n">
        <v>94519.09222224521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10098.41981302468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96848.37240922052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95943.06188808662</v>
      </c>
    </row>
    <row r="28">
      <c r="A28" t="inlineStr">
        <is>
          <t>Value per share (EUR)</t>
        </is>
      </c>
      <c r="B28" s="4">
        <f>B27/Inputs!$B$30</f>
        <v/>
      </c>
      <c r="C28" s="4" t="n">
        <v>44.53503773188945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3768.090387278241</v>
      </c>
    </row>
    <row r="30">
      <c r="A30" t="inlineStr">
        <is>
          <t>Upside vs share price</t>
        </is>
      </c>
      <c r="B30" s="6">
        <f>B29/Inputs!$B$32-1</f>
        <v/>
      </c>
      <c r="C30" s="6" t="n">
        <v>-0.2000657282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2026-10-15T11:57:25Z</dcterms:created>
  <dcterms:modified xmlns:dcterms="http://purl.org/dc/terms/" xmlns:xsi="http://www.w3.org/2001/XMLSchema-instance" xsi:type="dcterms:W3CDTF">2026-10-15T11:57:25Z</dcterms:modified>
</cp:coreProperties>
</file>