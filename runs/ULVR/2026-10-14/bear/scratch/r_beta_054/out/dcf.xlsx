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0.54</v>
      </c>
      <c r="C12" t="inlineStr">
        <is>
          <t>BEAR SCRATCH (bear/run_bear.py): risk/notes.md sensitivity. Base value was 0.8844; base source: 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8788.299999999999</v>
      </c>
      <c r="C26" t="inlineStr">
        <is>
          <t>BEAR SCRATCH (bear/run_bear.py): JVs by Gordon growth at Ke 5.8800% and g 1.6% = 5,436.1 (apply_pm_decision10.py formula). Base value was 7228.7;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4285.785619397524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0.05880000000000001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0.0539453012</v>
      </c>
    </row>
    <row r="20">
      <c r="A20" t="inlineStr">
        <is>
          <t>Sum of PV of FCF</t>
        </is>
      </c>
      <c r="B20" s="4">
        <f>SUM(C15:G15)</f>
        <v/>
      </c>
      <c r="C20" s="4" t="n">
        <v>23040.19356217363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136048.0752460322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107401.6808180804</v>
      </c>
    </row>
    <row r="24">
      <c r="A24" t="inlineStr">
        <is>
          <t>Enterprise value</t>
        </is>
      </c>
      <c r="B24" s="4">
        <f>B20+B23</f>
        <v/>
      </c>
      <c r="C24" s="4" t="n">
        <v>130441.874380254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13936.40985878634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135673.0645214677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135712.3384784615</v>
      </c>
    </row>
    <row r="28">
      <c r="A28" t="inlineStr">
        <is>
          <t>Value per share (EUR)</t>
        </is>
      </c>
      <c r="B28" s="4">
        <f>B27/Inputs!$B$30</f>
        <v/>
      </c>
      <c r="C28" s="4" t="n">
        <v>62.99521816253105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5329.99831350223</v>
      </c>
    </row>
    <row r="30">
      <c r="A30" t="inlineStr">
        <is>
          <t>Upside vs share price</t>
        </is>
      </c>
      <c r="B30" s="6">
        <f>B29/Inputs!$B$32-1</f>
        <v/>
      </c>
      <c r="C30" s="6" t="n">
        <v>0.1315143432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2026-10-14T10:05:05Z</dcterms:created>
  <dcterms:modified xmlns:dcterms="http://purl.org/dc/terms/" xmlns:xsi="http://www.w3.org/2001/XMLSchema-instance" xsi:type="dcterms:W3CDTF">2026-10-14T10:05:05Z</dcterms:modified>
</cp:coreProperties>
</file>