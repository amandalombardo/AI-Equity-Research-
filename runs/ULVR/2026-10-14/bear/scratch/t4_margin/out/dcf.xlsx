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0.162</v>
      </c>
      <c r="C3" t="inlineStr">
        <is>
          <t>BEAR SCRATCH (bear/run_bear.py): brief scenarios.bear.bear_agent_margin (c.17.3% 2023 less 1.1%). Base value was 0.177; base source: 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0.03866218702999204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0.0318</v>
      </c>
      <c r="C10" t="inlineStr">
        <is>
          <t>FRED IRLTLT01DEM156N (German 10-year Bund yield, OECD monthly average), latest month 2026-08-01 (Aug 2026 average 3.18%); PM decision 7: euro cash flows -&gt; Bund, not the gilt.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0.0388</v>
      </c>
      <c r="C13" t="inlineStr">
        <is>
          <t>risk-free 3.18%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7228.7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7.6020% - 1.6%) = 3,876.4, cost of equity = risk-free 3.18%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6905.127701279382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4955.769943455776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3679.872121390156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0.07602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0.028712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0.0683868542</v>
      </c>
    </row>
    <row r="20">
      <c r="A20" t="inlineStr">
        <is>
          <t>Sum of PV of FCF</t>
        </is>
      </c>
      <c r="B20" s="4">
        <f>SUM(C15:G15)</f>
        <v/>
      </c>
      <c r="C20" s="4" t="n">
        <v>20347.21098155852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4724.89492230698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90192.37735231257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66971.71554925665</v>
      </c>
    </row>
    <row r="24">
      <c r="A24" t="inlineStr">
        <is>
          <t>Enterprise value</t>
        </is>
      </c>
      <c r="B24" s="4">
        <f>B20+B23</f>
        <v/>
      </c>
      <c r="C24" s="4" t="n">
        <v>87318.92653081517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9329.154110552292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95597.77242026287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94592.81230841619</v>
      </c>
    </row>
    <row r="28">
      <c r="A28" t="inlineStr">
        <is>
          <t>Value per share (EUR)</t>
        </is>
      </c>
      <c r="B28" s="4">
        <f>B27/Inputs!$B$30</f>
        <v/>
      </c>
      <c r="C28" s="4" t="n">
        <v>43.90827624653855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3715.060367582629</v>
      </c>
    </row>
    <row r="30">
      <c r="A30" t="inlineStr">
        <is>
          <t>Upside vs share price</t>
        </is>
      </c>
      <c r="B30" s="6">
        <f>B29/Inputs!$B$32-1</f>
        <v/>
      </c>
      <c r="C30" s="6" t="n">
        <v>-0.2113235606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2026-10-14T10:05:01Z</dcterms:created>
  <dcterms:modified xmlns:dcterms="http://purl.org/dc/terms/" xmlns:xsi="http://www.w3.org/2001/XMLSchema-instance" xsi:type="dcterms:W3CDTF">2026-10-14T10:05:01Z</dcterms:modified>
</cp:coreProperties>
</file>