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0.162</v>
      </c>
      <c r="C3" t="inlineStr">
        <is>
          <t>BEAR SCRATCH (bear/run_bear.py): bear margin. Base value was 0.177; base source: 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0.03866218702999204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0.0318</v>
      </c>
      <c r="C10" t="inlineStr">
        <is>
          <t>FRED IRLTLT01DEM156N (German 10-year Bund yield, OECD monthly average), latest month 2026-08-01 (Aug 2026 average 3.18%); PM decision 7: euro cash flows -&gt; Bund, not the gilt.</t>
        </is>
      </c>
    </row>
    <row r="11">
      <c r="A11" t="inlineStr">
        <is>
          <t>Equity risk premium</t>
        </is>
      </c>
      <c r="B11" s="2" t="n">
        <v>0.05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0.0388</v>
      </c>
      <c r="C13" t="inlineStr">
        <is>
          <t>risk-free 3.18%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16876.8</v>
      </c>
      <c r="C20" t="inlineStr">
        <is>
          <t>BEAR SCRATCH (bear/run_bear.py): tax and HUL are today amounts. Base value was 35890.5; base source: 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0.02566</v>
      </c>
      <c r="C24" t="inlineStr">
        <is>
          <t>BEAR SCRATCH (bear/run_bear.py): non-HUL minorities only. Base value was 0.10684; base source: 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0</v>
      </c>
      <c r="C25" t="inlineStr">
        <is>
          <t>Brief rule (0 if in surplus): net SURPLUS EUR 3,518m at 31 Dec 2025 (Unilever FY25 Form 20-F (SEC accession 0000217410-26-000007, filed 12 Mar 2026, https://www.sec.gov/Archives/edgar/data/217410/000021741026000007/ul-20251231.htm) p.43 and note 4B; XBRL ifrs-full:LiabilityAssetOfDefinedBenefitPlans = -3,518); gross deficit plans 944 (funded in deficit 100 + unfunded 844, p.131) are inside that net figure. 30 Jun 2026: surplus 3.7bn (Unilever H1 2026 results 6-K (accession 0000217410-26-000057, 28 Jul 2026, https://www.sec.gov/Archives/edgar/data/217410/000021741026000057/ul-20260630.htm)).</t>
        </is>
      </c>
    </row>
    <row r="26">
      <c r="A26" t="inlineStr">
        <is>
          <t>Associates and equity stakes (EUR m)</t>
        </is>
      </c>
      <c r="B26" s="2" t="n">
        <v>6675.1</v>
      </c>
      <c r="C26" t="inlineStr">
        <is>
          <t>BEAR SCRATCH (bear/run_bear.py): JVs by Gordon growth at Ke 8.6020% and g 1.6% = 3,322.8 (apply_pm_decision10.py formula). Base value was 7228.7; base source: 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7.6020% - 1.6%) = 3,876.4, cost of equity = risk-free 3.18%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</t>
        </is>
      </c>
    </row>
    <row r="27">
      <c r="A27" t="inlineStr">
        <is>
          <t>Disposal proceeds not in net debt (EUR m)</t>
        </is>
      </c>
      <c r="B27" s="2" t="n">
        <v>33955.3</v>
      </c>
      <c r="C27" t="inlineStr">
        <is>
          <t>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</t>
        </is>
      </c>
    </row>
    <row r="28">
      <c r="A28" t="inlineStr">
        <is>
          <t>Restructuring cash still to pay (EUR m)</t>
        </is>
      </c>
      <c r="B28" s="2" t="n">
        <v>19513.7</v>
      </c>
      <c r="C28" t="inlineStr">
        <is>
          <t>BEAR SCRATCH (bear/run_bear.py): 500 + 25% tax + HUL at market (debt-like line). Base value was 500.0; base source: 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0.005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42624.24506962581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6905.127701279382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4955.769943455776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3679.872121390156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0.07602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0.028712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0.0683868542</v>
      </c>
    </row>
    <row r="20">
      <c r="A20" t="inlineStr">
        <is>
          <t>Sum of PV of FCF</t>
        </is>
      </c>
      <c r="B20" s="4">
        <f>SUM(C15:G15)</f>
        <v/>
      </c>
      <c r="C20" s="4" t="n">
        <v>20347.21098155852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4724.89492230698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90192.37735231257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66971.71554925665</v>
      </c>
    </row>
    <row r="24">
      <c r="A24" t="inlineStr">
        <is>
          <t>Enterprise value</t>
        </is>
      </c>
      <c r="B24" s="4">
        <f>B20+B23</f>
        <v/>
      </c>
      <c r="C24" s="4" t="n">
        <v>87318.92653081517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2240.603654780717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83119.02287603446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82501.60706663106</v>
      </c>
    </row>
    <row r="28">
      <c r="A28" t="inlineStr">
        <is>
          <t>Value per share (EUR)</t>
        </is>
      </c>
      <c r="B28" s="4">
        <f>B27/Inputs!$B$30</f>
        <v/>
      </c>
      <c r="C28" s="4" t="n">
        <v>38.29575699741309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3240.187527946518</v>
      </c>
    </row>
    <row r="30">
      <c r="A30" t="inlineStr">
        <is>
          <t>Upside vs share price</t>
        </is>
      </c>
      <c r="B30" s="6">
        <f>B29/Inputs!$B$32-1</f>
        <v/>
      </c>
      <c r="C30" s="6" t="n">
        <v>-0.3121351177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2026-10-14T10:05:05Z</dcterms:created>
  <dcterms:modified xmlns:dcterms="http://purl.org/dc/terms/" xmlns:xsi="http://www.w3.org/2001/XMLSchema-instance" xsi:type="dcterms:W3CDTF">2026-10-14T10:05:05Z</dcterms:modified>
</cp:coreProperties>
</file>