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0.162</v>
      </c>
      <c r="C3" t="inlineStr">
        <is>
          <t>BEAR SCRATCH (bear/run_bear.py): bear margin.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0.03866218702999204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16876.8</v>
      </c>
      <c r="C20" t="inlineStr">
        <is>
          <t>BEAR SCRATCH (bear/run_bear.py): tax and HUL are today amounts.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0.02566</v>
      </c>
      <c r="C24" t="inlineStr">
        <is>
          <t>BEAR SCRATCH (bear/run_bear.py): non-HUL minorities only.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6551.7</v>
      </c>
      <c r="C26" t="inlineStr">
        <is>
          <t>BEAR SCRATCH (bear/run_bear.py): JVs by Gordon growth at Ke 8.8720% and g 1.6% = 3,199.4 (apply_pm_decision10.py formula). Base value was 7061.8;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19513.7</v>
      </c>
      <c r="C28" t="inlineStr">
        <is>
          <t>BEAR SCRATCH (bear/run_bear.py): 500 + 25% tax + HUL at market (debt-like line).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6905.127701279382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4955.769943455776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3640.044707131078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20229.37405521643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4724.89492230698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85948.45676126625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63129.69098435781</v>
      </c>
    </row>
    <row r="24">
      <c r="A24" t="inlineStr">
        <is>
          <t>Enterprise value</t>
        </is>
      </c>
      <c r="B24" s="4">
        <f>B20+B23</f>
        <v/>
      </c>
      <c r="C24" s="4" t="n">
        <v>83359.06503957424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2138.993608915475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79137.37143065876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78413.92190724479</v>
      </c>
    </row>
    <row r="28">
      <c r="A28" t="inlineStr">
        <is>
          <t>Value per share (EUR)</t>
        </is>
      </c>
      <c r="B28" s="4">
        <f>B27/Inputs!$B$30</f>
        <v/>
      </c>
      <c r="C28" s="4" t="n">
        <v>36.39832732165708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3079.646819195009</v>
      </c>
    </row>
    <row r="30">
      <c r="A30" t="inlineStr">
        <is>
          <t>Upside vs share price</t>
        </is>
      </c>
      <c r="B30" s="6">
        <f>B29/Inputs!$B$32-1</f>
        <v/>
      </c>
      <c r="C30" s="6" t="n">
        <v>-0.3462165759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2026-10-14T13:53:10Z</dcterms:created>
  <dcterms:modified xmlns:dcterms="http://purl.org/dc/terms/" xmlns:xsi="http://www.w3.org/2001/XMLSchema-instance" xsi:type="dcterms:W3CDTF">2026-10-14T13:53:10Z</dcterms:modified>
</cp:coreProperties>
</file>