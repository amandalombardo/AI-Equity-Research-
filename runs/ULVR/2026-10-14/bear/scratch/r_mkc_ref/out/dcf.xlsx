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41140.6</v>
      </c>
      <c r="C20" t="inlineStr">
        <is>
          <t>BEAR SCRATCH (bear/run_bear.py): consideration is priced today. Base value was 35247.6;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35890.5 - 642.9. FLAG: if closing comes before the July ex-date, 2 quarters (+c.8p)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698.6</v>
      </c>
      <c r="C25" t="inlineStr">
        <is>
          <t>PM decision 15 Oct 2026 (evidence audit): plans in deficit 944 (funded in deficit 100 + unfunded 844, Unilever FY25 Form 20-F (SEC accession 0000217410-26-000007, filed 12 Mar 2026) p.131) x (1 - 26% tax, briefs/ULVR.yaml tax_rate) = 698.6. The net surplus (3,518) is not offset against them; surpluses are not added (brief rule)</t>
        </is>
      </c>
    </row>
    <row r="26">
      <c r="A26" t="inlineStr">
        <is>
          <t>Associates and equity stakes (EUR m)</t>
        </is>
      </c>
      <c r="B26" s="2" t="n">
        <v>7533.5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 JV value recomputed 15 Oct 2026 at the new cost of equity 7.1645% (ERP 4.2%): 229 x 1.016 / (7.1645% - 1.6%) = 4181.2 (was 3709.6 at 7.8720%)</t>
        </is>
      </c>
    </row>
    <row r="27">
      <c r="A27" t="inlineStr">
        <is>
          <t>Disposal proceeds not in net debt (EUR m)</t>
        </is>
      </c>
      <c r="B27" s="2" t="n">
        <v>39205.4</v>
      </c>
      <c r="C27" t="inlineStr">
        <is>
          <t>BEAR SCRATCH (bear/run_bear.py): MKC at USD 57.84, less 642.9 McCormick dividends before closing. Base value was 33312.4;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 LESS McCormick dividends the new shares miss before closing (PM decision 15 Oct 2026): 499,691,175 shares x USD 0.48 a quarter (McCormick 10-Q to 31 Aug 2026, accession 0000063754-26-000329) x 3 quarters (ex-dates Jan, Apr, Jul 2027; closing expected mid-2027, Form 425 0000217410-26-000027) / 1.1193 USD per EUR (FRED DEXUSEU 2026-10-09) = 642.9; 33955.3 - 642.9. FLAG: if closing comes before the July ex-date, 2 quarters (+c.8p)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0.02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43260.42783185904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7657.095726239049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5509.927407963378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4149.533706350344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0.07164480000000001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0.06503997002</v>
      </c>
    </row>
    <row r="20">
      <c r="A20" t="inlineStr">
        <is>
          <t>Sum of PV of FCF</t>
        </is>
      </c>
      <c r="B20" s="4">
        <f>SUM(C15:G15)</f>
        <v/>
      </c>
      <c r="C20" s="4" t="n">
        <v>22867.77215716328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5239.435718157987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106840.1085078393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80461.42873001605</v>
      </c>
    </row>
    <row r="24">
      <c r="A24" t="inlineStr">
        <is>
          <t>Enterprise value</t>
        </is>
      </c>
      <c r="B24" s="4">
        <f>B20+B23</f>
        <v/>
      </c>
      <c r="C24" s="4" t="n">
        <v>103329.2008871793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11039.69182278624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114753.8090643931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114324.0974823262</v>
      </c>
    </row>
    <row r="28">
      <c r="A28" t="inlineStr">
        <is>
          <t>Value per share (EUR)</t>
        </is>
      </c>
      <c r="B28" s="4">
        <f>B27/Inputs!$B$30</f>
        <v/>
      </c>
      <c r="C28" s="4" t="n">
        <v>53.06718271070537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4489.99150412673</v>
      </c>
    </row>
    <row r="30">
      <c r="A30" t="inlineStr">
        <is>
          <t>Upside vs share price</t>
        </is>
      </c>
      <c r="B30" s="6">
        <f>B29/Inputs!$B$32-1</f>
        <v/>
      </c>
      <c r="C30" s="6" t="n">
        <v>-0.046812121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2026-10-15T11:57:31Z</dcterms:created>
  <dcterms:modified xmlns:dcterms="http://purl.org/dc/terms/" xmlns:xsi="http://www.w3.org/2001/XMLSchema-instance" xsi:type="dcterms:W3CDTF">2026-10-15T11:57:31Z</dcterms:modified>
</cp:coreProperties>
</file>