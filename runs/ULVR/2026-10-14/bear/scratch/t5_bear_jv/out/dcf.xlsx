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(EUR m)</t>
        </is>
      </c>
      <c r="B2" s="2" t="n">
        <v>39803</v>
      </c>
      <c r="C2" t="inlineStr">
        <is>
          <t>EUR m, ex the Foods sale perimeter (decision 1): FY25 turnover 50,503 (Unilever FY25 results 6-K (accession 0001654954-26-001155, 12 Feb 2026, https://www.sec.gov/Archives/edgar/data/217410/000165495426001155/a6773s.htm), UOP reconciliation; = 20-F XBRL ifrs-full:Revenue) less perimeter FY25 sales 10,700 (Unilever Foods/McCormick investor presentation, Form 425 (accession 0000217410-26-000027, 31 Mar 2026, https://www.sec.gov/Archives/edgar/data/217410/000021741026000027/apollo-425formxinvestorp.htm), slide 25, 'EUR 10.7bn', preliminary carve-out). Perimeter rounded to EUR 0.1bn.</t>
        </is>
      </c>
    </row>
    <row r="3">
      <c r="A3" t="inlineStr">
        <is>
          <t>Base operating margin before exceptionals</t>
        </is>
      </c>
      <c r="B3" s="2" t="n">
        <v>0.177</v>
      </c>
      <c r="C3" t="inlineStr">
        <is>
          <t>PM decision 3 (briefs/ULVR.yaml dcf.base_margin): ex-perimeter underlying margin 18.80% (UOP 10,084 - perimeter UOP 2,600 = 7,484; Unilever FY25 results 6-K (accession 0001654954-26-001155, 12 Feb 2026, https://www.sec.gov/Archives/edgar/data/217410/000165495426001155/a6773s.htm); Unilever Foods/McCormick investor presentation, Form 425 (accession 0000217410-26-000027, 31 Mar 2026, https://www.sec.gov/Archives/edgar/data/217410/000021741026000027/apollo-425formxinvestorp.htm) slide 25) less FY23-25 average restructuring 1.12% of turnover (425/51,680, 710/52,479, 599/50,503; 20-F XBRL ifrs-full:ExpenseOfRestructuringActivities, FY25 20-F p.137-138 note 2) = 17.68%, rounded by the PM to 17.7%. H1 2026 6-K guides FY26 restructuring 'around 1.0% of turnover'.</t>
        </is>
      </c>
    </row>
    <row r="4">
      <c r="A4" t="inlineStr">
        <is>
          <t>Tax rate</t>
        </is>
      </c>
      <c r="B4" s="2" t="n">
        <v>0.26</v>
      </c>
      <c r="C4" t="inlineStr">
        <is>
          <t>PM decision 9 (briefs/ULVR.yaml dcf.tax_rate): H1 2026 underlying ETR 26.0% and FY26 guide 'around 26%' (Unilever H1 2026 results 6-K (accession 0000217410-26-000057, 28 Jul 2026, https://www.sec.gov/Archives/edgar/data/217410/000021741026000057/ul-20260630.htm), finance costs and tax); FY25 underlying ETR 25.7% (Unilever FY25 Form 20-F (SEC accession 0000217410-26-000007, filed 12 Mar 2026, https://www.sec.gov/Archives/edgar/data/217410/000021741026000007/ul-20251231.htm) p.43; Unilever FY25 results 6-K (accession 0001654954-26-001155, 12 Feb 2026, https://www.sec.gov/Archives/edgar/data/217410/000165495426001155/a6773s.htm)) helped by one-off tax settlements.</t>
        </is>
      </c>
    </row>
    <row r="5">
      <c r="A5" t="inlineStr">
        <is>
          <t>D&amp;A % of sales</t>
        </is>
      </c>
      <c r="B5" s="2" t="n">
        <v>0.026</v>
      </c>
      <c r="C5" t="inlineStr">
        <is>
          <t>PM decision (sign-off G): FY25 depreciation and amortisation 1,310 / turnover 50,503 = 2.594% (Unilever FY25 Form 20-F (SEC accession 0000217410-26-000007, filed 12 Mar 2026, https://www.sec.gov/Archives/edgar/data/217410/000021741026000007/ul-20251231.htm); XBRL ifrs-full:DepreciationAndAmortisationExpense, p.137 note 2 segment table).</t>
        </is>
      </c>
    </row>
    <row r="6">
      <c r="A6" t="inlineStr">
        <is>
          <t>Capex % of sales</t>
        </is>
      </c>
      <c r="B6" s="2" t="n">
        <v>0.0315</v>
      </c>
      <c r="C6" t="inlineStr">
        <is>
          <t>PM decision 14 Oct 2026 (decision 10, docs/phase5/ulvr-run-flags.md item A; briefs/ULVR.yaml comments): FY25 (purchase of PP&amp;E 1,417 + purchase of intangible assets 174) / turnover 50,503 = 3.150%. Unilever FY25 Form 20-F (SEC accession 0000217410-26-000007, filed 12 Mar 2026, https://www.sec.gov/Archives/edgar/data/217410/000021741026000007/ul-20251231.htm) p.132 cash flow statement; XBRL ifrs-full:PurchaseOfPropertyPlantAndEquipmentClassifiedAsInvestingActivities, PurchaseOfIntangibleAssetsClassifiedAsInvestingActivities, Revenue. Consistent with D&amp;A 2.6% (1,310), which includes amortisation of those intangibles. Brief capex_pct_sales 0.0315. Was 0.028 (PP&amp;E only).</t>
        </is>
      </c>
    </row>
    <row r="7">
      <c r="A7" t="inlineStr">
        <is>
          <t>Terminal-year capex % of sales</t>
        </is>
      </c>
      <c r="B7" s="2" t="n">
        <v>0.03965993983898081</v>
      </c>
      <c r="C7" t="inlineStr">
        <is>
          <t>PM rule: return on new investment 17.8% (value driver formula, briefs/ULVR.yaml)</t>
        </is>
      </c>
    </row>
    <row r="8">
      <c r="A8" t="inlineStr">
        <is>
          <t>Net working capital % of sales</t>
        </is>
      </c>
      <c r="B8" s="2" t="n">
        <v>-0.11979</v>
      </c>
      <c r="C8" t="inlineStr">
        <is>
          <t>PM decision 14 Oct 2026 (decision 10, docs/phase5/ulvr-run-flags.md item D; briefs/ULVR.yaml comments): FY25 (inventories 4,043 + (trade and other current receivables 7,346 - EUR 2,100m due from TMICC) - (trade payables and other current liabilities 16,939 - EUR 1,600m due to TMICC)) / turnover 50,503 = -11.98%. Unilever FY25 Form 20-F (SEC accession 0000217410-26-000007, filed 12 Mar 2026, https://www.sec.gov/Archives/edgar/data/217410/000021741026000007/ul-20251231.htm) p.131 balance sheet; note 13 p.159 ('include EUR 2.1 billion due from TMICC': TSA receivables and working capital subsidies recoverable on TSA exit); note 14 p.160 ('include EUR 1.6 billion due to TMICC'); XBRL ifrs-full:Inventories, TradeAndOtherCurrentReceivables, TradeAndOtherCurrentPayables. Both temporary Magnum transition balances removed; the net EUR 500m is in associates. Amounts as disclosed, rounded to EUR 0.1bn. Was -0.07821.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(briefs/ULVR.yaml)</t>
        </is>
      </c>
    </row>
    <row r="10">
      <c r="A10" t="inlineStr">
        <is>
          <t>Risk-free rate (10-year government bond in EUR, the cash-flow currency)</t>
        </is>
      </c>
      <c r="B10" s="2" t="n">
        <v>0.0345</v>
      </c>
      <c r="C10" t="inlineStr">
        <is>
          <t>PM decision 14 Oct 2026 (decision 11; briefs/ULVR.yaml wacc.risk_free comment; docs/phase5/ulvr-evidence-audit.md): German 10-year Bund yield on the run date, 3.45% on 14 Oct 2026 (Trading Economics https://tradingeconomics.com/germany/government-bond-yield; also Bloomberg rates page https://www.bloomberg.com/markets/rates-bonds); cross-check 3.50% on 9 Oct 2026 (https://www.thetrading.tools/germany-10-year-yield). Replaces FRED IRLTLT01DEM156N (OECD monthly average, latest Aug 2026 = 3.18%, two months old). FLAG: data aggregator, not a primary source; the Bundesbank and ECB daily series (and these aggregator pages) are blocked from the Data agent's environment, so the Data agent could not re-check the 3.45% figure itself (PM-supplied, from the evidence audit).</t>
        </is>
      </c>
    </row>
    <row r="11">
      <c r="A11" t="inlineStr">
        <is>
          <t>Equity risk premium</t>
        </is>
      </c>
      <c r="B11" s="2" t="n">
        <v>0.05</v>
      </c>
      <c r="C11" t="inlineStr">
        <is>
          <t>PM assumption (briefs/ULVR.yaml)</t>
        </is>
      </c>
    </row>
    <row r="12">
      <c r="A12" t="inlineStr">
        <is>
          <t>Beta</t>
        </is>
      </c>
      <c r="B12" s="2" t="n">
        <v>0.8844</v>
      </c>
      <c r="C12" t="inlineStr">
        <is>
          <t>Risk agent, bottom-up: Damodaran GLOBAL Household Products unlevered beta corrected for cash 0.7741 (588 firms, betaGlobal.xls dated 2026-01-05, sheet 'Industry Averages', PM upload 14 Oct 2026) relevered (Hamada) at Unilever's market D/E 0.1924 = net debt EUR 23,076m (31 Dec 2025, FY25 results 6-K 0001654954-26-001155) / market cap EUR 119,938.7m (2,154.328m shares x 4,710.5p / 100 x 1.18190 EUR per GBP) and tax 26.0% (brief). Cross-checks in risk/beta_evidence.json and risk/risk.json (not used).</t>
        </is>
      </c>
    </row>
    <row r="13">
      <c r="A13" t="inlineStr">
        <is>
          <t>Pre-tax cost of debt</t>
        </is>
      </c>
      <c r="B13" s="2" t="n">
        <v>0.0415</v>
      </c>
      <c r="C13" t="inlineStr">
        <is>
          <t>risk-free 3.45% + credit spread 0.70% (PM rule, briefs)</t>
        </is>
      </c>
    </row>
    <row r="14">
      <c r="A14" t="inlineStr">
        <is>
          <t>Debt weight D/(D+E)</t>
        </is>
      </c>
      <c r="B14" s="2" t="n">
        <v>0.16135</v>
      </c>
      <c r="C14" t="inlineStr">
        <is>
          <t>Market values: net debt 23,076 (31 Dec 2025) / (net debt + market cap EUR 119,939 = 2,154.328m shares x 4710.5p (Yahoo ULVR.L close 2026-10-13) x 1.18190 EUR per GBP (FRED DEXUSUK/DEXUSEU 2026-10-09)). With 30 Jun 2026 net debt 25,961: 17.79%.</t>
        </is>
      </c>
    </row>
    <row r="15">
      <c r="A15" t="inlineStr">
        <is>
          <t>Terminal growth</t>
        </is>
      </c>
      <c r="B15" s="2" t="n">
        <v>0.016</v>
      </c>
      <c r="C15" t="inlineStr">
        <is>
          <t>PM assumption (briefs/ULVR.yaml)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287 days from the 31 Dec 2025 balance sheet to the run date 2026-10-14 / 365.</t>
        </is>
      </c>
    </row>
    <row r="17">
      <c r="A17" t="inlineStr">
        <is>
          <t>Years from the balance sheet date to valuation date (equity roll-forward)</t>
        </is>
      </c>
      <c r="B17" s="2" t="n">
        <v>0.7863</v>
      </c>
      <c r="C17" t="inlineStr">
        <is>
          <t>287 days from the 31 Dec 2025 balance sheet to the run date 2026-10-14 / 365.</t>
        </is>
      </c>
    </row>
    <row r="18">
      <c r="A18" t="inlineStr">
        <is>
          <t>Dividends gone ex before valuation date (EUR m)</t>
        </is>
      </c>
      <c r="B18" s="2" t="n">
        <v>3038.8</v>
      </c>
      <c r="C18" t="inlineStr">
        <is>
          <t>Dividends that went ex between 31 Dec 2025 and 2026-10-14: Q4 2025 EUR 0.4664 (ex 26 Feb 2026; Unilever FY25 results 6-K (accession 0001654954-26-001155, 12 Feb 2026, https://www.sec.gov/Archives/edgar/data/217410/000165495426001155/a6773s.htm) note 9) and Q1 2026 EUR 0.4664 (ex 14 May 2026; Unilever H1 2026 results 6-K (accession 0000217410-26-000057, 28 Jul 2026, https://www.sec.gov/Archives/edgar/data/217410/000021741026000057/ul-20260630.htm): 'in line with the Q1 2026 dividend') = 2,034 booked in the H1 2026 equity statement (Unilever H1 2026 results 6-K (accession 0000217410-26-000057, 28 Jul 2026, https://www.sec.gov/Archives/edgar/data/217410/000021741026000057/ul-20260630.htm)); + Q2 2026 EUR 0.4664 (ex 6 Aug 2026, Unilever H1 2026 results 6-K (accession 0000217410-26-000057, 28 Jul 2026, https://www.sec.gov/Archives/edgar/data/217410/000021741026000057/ul-20260630.htm) note 10) x 2,154,327,344 voting shares (Unilever 6-K Total Voting Rights 3 Aug 2026 (accession 0001654954-26-007194): position at 31 Jul 2026) = 1,004.8. Q3 2026 goes ex 12 Nov 2026 (after the run date). EXCLUDES the EUR 1,507m H1 2026 buyback (FLAG in notes.md).</t>
        </is>
      </c>
    </row>
    <row r="19">
      <c r="A19" t="inlineStr">
        <is>
          <t>Share buybacks after the balance sheet date (EUR m)</t>
        </is>
      </c>
      <c r="B19" s="2" t="n">
        <v>1507</v>
      </c>
      <c r="C19" t="inlineStr">
        <is>
          <t>Unilever H1 2026 results 6-K (accession 0000217410-26-000057, 28 Jul 2026, https://www.sec.gov/Archives/edgar/data/217410/000021741026000057/ul-20260630.htm) cash flow 'Repurchase of shares (1,507)'; 30,703,780 shares now in treasury (Unilever 6-K Total Voting Rights 1 Sep 2026 (accession 0001654954-26-008017): position at 31 Aug 2026). Cash left after 31 Dec 2025 while shares_outstanding_m is post-buyback: Deducted in the equity roll-forward (engine change 14 Oct 2026, mistakes row 22).</t>
        </is>
      </c>
    </row>
    <row r="20">
      <c r="A20" t="inlineStr">
        <is>
          <t>Bridge items already priced at the valuation date, not grown (EUR m)</t>
        </is>
      </c>
      <c r="B20" s="2" t="n">
        <v>35890.5</v>
      </c>
      <c r="C20" t="inlineStr">
        <is>
          <t>Bridge items already at run-date market prices (not grown in the roll-forward; mistakes log row 24): TMICC stake 1,935.2 (inputs.yaml `associates` component (1): 121,604,413 shares x EUR 15.914, Yahoo MICC.AS close 2026-10-13) + Foods consideration 33,955.3 (inputs.yaml `disposal_proceeds`: USD 15,700m cash + 499,691,175 McCormick shares x USD 44.64, Yahoo MKC close 2026-10-13, at FRED DEXUSEU) = 35,890.5. Excluded (balance-sheet-date values): JVs by Gordon growth on FY25 dividends, associates at book 15, fair-value investments 902 (31 Dec 2025), Magnum transition balance 500.</t>
        </is>
      </c>
    </row>
    <row r="21">
      <c r="A21" t="inlineStr">
        <is>
          <t>Net debt (EUR m)</t>
        </is>
      </c>
      <c r="B21" s="2" t="n">
        <v>23076</v>
      </c>
      <c r="C21" t="inlineStr">
        <is>
          <t>Unilever's definition at 31 Dec 2025 (Unilever FY25 results 6-K (accession 0001654954-26-001155, 12 Feb 2026, https://www.sec.gov/Archives/edgar/data/217410/000165495426001155/a6773s.htm), net debt reconciliation; Unilever FY25 Form 20-F (SEC accession 0000217410-26-000007, filed 12 Mar 2026, https://www.sec.gov/Archives/edgar/data/217410/000021741026000007/ul-20251231.htm) p.164 note 15C): total financial liabilities 28,278 (bank 233 + bonds 26,038 + LEASES 1,326 + derivatives 452 + other 229) - cash 3,941 - other current financial assets 1,121 - non-current financial asset derivatives 140 = 23,076. Lease liabilities ARE INSIDE. TMICC stake is non-current FVOCI, NOT inside. Does NOT reflect the EUR 1,507m share buyback of H1 2026 (see notes.md FLAG).</t>
        </is>
      </c>
    </row>
    <row r="22">
      <c r="A22" t="inlineStr">
        <is>
          <t>Lease liabilities not in net debt (EUR m)</t>
        </is>
      </c>
      <c r="B22" s="2" t="n">
        <v>0</v>
      </c>
      <c r="C22" t="inlineStr">
        <is>
          <t>0 because the EUR 1,326m of lease liabilities is already inside net debt (Unilever FY25 Form 20-F (SEC accession 0000217410-26-000007, filed 12 Mar 2026, https://www.sec.gov/Archives/edgar/data/217410/000021741026000007/ul-20251231.htm) p.164 note 15C; p.171 note 16B 'Less: lease liabilities (1,326)').</t>
        </is>
      </c>
    </row>
    <row r="23">
      <c r="A23" t="inlineStr">
        <is>
          <t>Minority interests at book (EUR m)</t>
        </is>
      </c>
      <c r="B23" s="2" t="n">
        <v>2057</v>
      </c>
      <c r="C23" t="inlineStr">
        <is>
          <t>Book value at 31 Dec 2025, of which Hindustan Unilever 1,569 (Unilever FY25 Form 20-F (SEC accession 0000217410-26-000007, filed 12 Mar 2026, https://www.sec.gov/Archives/edgar/data/217410/000021741026000007/ul-20251231.htm) p.131 balance sheet, p.162-163 note 15B; XBRL ifrs-full:NoncontrollingInterests). Reference only: brief minorities_method = proportionate (Fundamentals agent supplies minority_share_of_operating_profit).</t>
        </is>
      </c>
    </row>
    <row r="24">
      <c r="A24" t="inlineStr">
        <is>
          <t>Minorities' share of operating profit (proportionate method; blank = use book)</t>
        </is>
      </c>
      <c r="B24" s="2" t="n">
        <v>0.10684</v>
      </c>
      <c r="C24" t="inlineStr">
        <is>
          <t>Fundamentals agent (fundamentals/run_fundamentals.py, ratios.csv). Outside shareholders' share of the operating profit of the business that REMAINS after the Foods sale = FY24 minorities' share of Group underlying net profit x Group UOP FY25 / (Group UOP FY25 - Foods perimeter UOP FY25) = 0.07929 x 10,084 / 7,484 = 10.68%. FY24 share = underlying NCI profit 587 (reported NCI continuing 609 less NCI share of non-underlying items +22) / (underlying profit to shareholders 6,816 + 587 = 7,403). Sources: Unilever FY25 Form 20-F (SEC accession 0000217410-26-000007, filed 12 Mar 2026) p.128 income statement (NCI continuing 609), p.42 non-underlying items (NCI +22), p.43 underlying EPS reconciliation (6,816), p.137 note 2 (UOP 10,084); Foods perimeter UOP EUR 2.6bn, Form 425 investor presentation (accession 0000217410-26-000027) slide 25; the perimeter excludes India Foods (Form 425 call transcript), so all of Hindustan Unilever stays. HUL check: HUL minorities 446 / HUL profit 1,167 = 38.2% in FY24 (20-F p.162 note 15B) vs 38.1% outside holding (Unilever 61.90%, p.194); HUL alone = 446 / 7,403 = 6.0% of Group underlying profit; other minorities (e.g. PT Unilever Indonesia, 85% owned, p.183) the rest. FY24 used because FY25 HUL figures are distorted by HUL's ice cream demerger (539 / 940 = 57%; EUR 199m non-cash dividend). Cross-checks: FY25 10.39%, H1 2026 9.46%. Assumptions (FLAG): minorities' share of operating profit = their share of net profit (HUL has net cash, so this slightly OVERstates); no minority profit leaves with the perimeter (minority holders of Indonesia etc. Foods do leave: slight OVERstatement).</t>
        </is>
      </c>
    </row>
    <row r="25">
      <c r="A25" t="inlineStr">
        <is>
          <t>Pension deficit (EUR m)</t>
        </is>
      </c>
      <c r="B25" s="2" t="n">
        <v>0</v>
      </c>
      <c r="C25" t="inlineStr">
        <is>
          <t>Brief rule (0 if in surplus): net SURPLUS EUR 3,518m at 31 Dec 2025 (Unilever FY25 Form 20-F (SEC accession 0000217410-26-000007, filed 12 Mar 2026, https://www.sec.gov/Archives/edgar/data/217410/000021741026000007/ul-20251231.htm) p.43 and note 4B; XBRL ifrs-full:LiabilityAssetOfDefinedBenefitPlans = -3,518); gross deficit plans 944 (funded in deficit 100 + unfunded 844, p.131) are inside that net figure. 30 Jun 2026: surplus 3.7bn (Unilever H1 2026 results 6-K (accession 0000217410-26-000057, 28 Jul 2026, https://www.sec.gov/Archives/edgar/data/217410/000021741026000057/ul-20260630.htm)).</t>
        </is>
      </c>
    </row>
    <row r="26">
      <c r="A26" t="inlineStr">
        <is>
          <t>Associates and equity stakes (EUR m)</t>
        </is>
      </c>
      <c r="B26" s="2" t="n">
        <v>6551.7</v>
      </c>
      <c r="C26" t="inlineStr">
        <is>
          <t>BEAR SCRATCH (bear/run_bear.py): JVs by Gordon growth at Ke 8.8720% and g 1.6% = 3,199.4 (apply_pm_decision10.py formula). Base value was 7061.8; base source: PM decision 14 Oct 2026 (decision 10, docs/phase5/ulvr-run-flags.md item B, C, D; E agreed 13 Oct; briefs/ULVR.yaml comments): sum of (1) TMICC 19.85%: 121,604,413 shares (TMICC resale prospectus, Form 424(b)(4) (accession 0001104659-26-042683, 13 Apr 2026)) x EUR 15.914 (Yahoo MICC.AS close 2026-10-13) = 1,935.2; (2) joint ventures by Gordon growth: FY25 dividends received from JVs and associates EUR 229m (Unilever FY25 Form 20-F (SEC accession 0000217410-26-000007, filed 12 Mar 2026, https://www.sec.gov/Archives/edgar/data/217410/000021741026000007/ul-20251231.htm) p.158 note 11: JVs 'Dividends received/reductions (229)', associates nil; the p.132 cash-flow line is 243 because it also includes dividends from other non-current investments, which are valued in (4)) x (1 + 1.6%) / (cost of equity 7.8720% - 1.6%) = 3,709.6, cost of equity = risk-free 3.45% (inputs.yaml) + beta 0.8844 (inputs.yaml, Risk agent) x ERP 5.0% (brief); (3) associates at book 15 (Unilever FY25 Form 20-F (SEC accession 0000217410-26-000007, filed 12 Mar 2026, https://www.sec.gov/Archives/edgar/data/217410/000021741026000007/ul-20251231.htm) p.158 note 11); (4) other fair-value financial investments 902 = equity investments FVOCI excl. TMICC 561 (2,216 - 1,655) + non-current FVTPL 'Other' 341 (Unilever FY25 Form 20-F (SEC accession 0000217410-26-000007, filed 12 Mar 2026, https://www.sec.gov/Archives/edgar/data/217410/000021741026000007/ul-20251231.htm) p.174 note 17A); amortised-cost assets 368 (incl. judicial deposits 175) excluded; (5) net Magnum transition balance owed to Unilever 2,100 - 1,600 = 500 (Unilever FY25 Form 20-F (SEC accession 0000217410-26-000007, filed 12 Mar 2026, https://www.sec.gov/Archives/edgar/data/217410/000021741026000007/ul-20251231.htm) notes 13-14, p.159-160). Was 2,044.2 (TMICC + JVs/associates at book 109). If the run's cost of equity changes, the JV value must be recomputed.</t>
        </is>
      </c>
    </row>
    <row r="27">
      <c r="A27" t="inlineStr">
        <is>
          <t>Disposal proceeds not in net debt (EUR m)</t>
        </is>
      </c>
      <c r="B27" s="2" t="n">
        <v>33955.3</v>
      </c>
      <c r="C27" t="inlineStr">
        <is>
          <t>Foods consideration at run-date market value (decision 1): cash USD 15,700m + new McCormick shares 499,691,175 (= existing 269,064,479 [voting 14,522,864 + non-voting 254,541,615, McCormick 10-Q for the quarter to 31 Aug 2026 (accession 0000063754-26-000329, filed 1 Oct 2026, https://www.sec.gov/Archives/edgar/data/63754/000006375426000329/mkc-20260831.htm) cover] x 65/35; 55.1% to Unilever shareholders + 9.9% to Unilever, 10-Q note 2) x USD 44.64 (Yahoo MKC close 2026-10-13) = USD 22,306.2m; total USD 38,006.2m / 1.1193 USD per EUR (FRED DEXUSEU 2026-10-09) = EUR 33,955.3m. Yahoo EURUSD=X 1.1160 (2026-10-12) would give 34,055.1. Tax on the cash: MISSING, NOT deducted (PM decision 5; CFO: 'premature to start making estimates', Unilever investor call transcript 31 Mar 2026, Form 425 (accession 0000217410-26-000032)). Received at closing (expected mid-2027): timing FLAG in notes.md.</t>
        </is>
      </c>
    </row>
    <row r="28">
      <c r="A28" t="inlineStr">
        <is>
          <t>Restructuring cash still to pay (EUR m)</t>
        </is>
      </c>
      <c r="B28" s="2" t="n">
        <v>500</v>
      </c>
      <c r="C28" t="inlineStr">
        <is>
          <t>Brief (decision 3): 'c.EUR 500m one-off restructuring to offset stranded costs ... to be incurred over 2027-2029' (Unilever Foods/McCormick investor presentation, Form 425 (accession 0000217410-26-000027, 31 Mar 2026, https://www.sec.gov/Archives/edgar/data/217410/000021741026000027/apollo-425formxinvestorp.htm), slide 19).</t>
        </is>
      </c>
    </row>
    <row r="29">
      <c r="A29" t="inlineStr">
        <is>
          <t>Contingent liabilities assumed paid, e.g. a lost tax case (EUR m)</t>
        </is>
      </c>
      <c r="B29" s="2" t="n">
        <v>0</v>
      </c>
      <c r="C29" t="inlineStr">
        <is>
          <t>not in this brief's bridge (0)</t>
        </is>
      </c>
    </row>
    <row r="30">
      <c r="A30" t="inlineStr">
        <is>
          <t>Ordinary shares (m)</t>
        </is>
      </c>
      <c r="B30" s="2" t="n">
        <v>2154.327621</v>
      </c>
      <c r="C30" t="inlineStr">
        <is>
          <t>Unilever 6-K Total Voting Rights 1 Sep 2026 (accession 0001654954-26-008017): position at 31 Aug 2026: issued 2,185,205,247 - treasury 30,703,780 - group-held 173,846 = 2,154,327,621 shares with voting rights. No later Total Voting Rights 6-K on EDGAR at the run date (latest Unilever filing 25 Sep 2026). Ordinary shares; 1 UL ADR = 1 share.</t>
        </is>
      </c>
    </row>
    <row r="31">
      <c r="A31" t="inlineStr">
        <is>
          <t>EUR per GBP</t>
        </is>
      </c>
      <c r="B31" s="2" t="n">
        <v>1.181899401411596</v>
      </c>
      <c r="C31" t="inlineStr">
        <is>
          <t>FRED DEXUSUK / DEXUSEU (EUR per GBP, noon buying rates New York), 2026-10-09 (USD per GBP 1.3229 / USD per EUR 1.1193); Yahoo EURGBP=X 2026-10-12: 1.18373.</t>
        </is>
      </c>
    </row>
    <row r="32">
      <c r="A32" t="inlineStr">
        <is>
          <t>Share price (pence)</t>
        </is>
      </c>
      <c r="B32" s="2" t="n">
        <v>4710.5</v>
      </c>
      <c r="C32" t="inlineStr">
        <is>
          <t>Yahoo Finance ULVR.L close 2026-10-13 (pence, GBp), last completed close before the run date. desk.data_sources wrote 4737.0p dated 2026-10-14, which was an INTRADAY price (London open): not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EUR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0.005</v>
      </c>
      <c r="D2" s="3" t="n">
        <v>0.016</v>
      </c>
      <c r="E2" s="3" t="n">
        <v>0.016</v>
      </c>
      <c r="F2" s="3" t="n">
        <v>0.016</v>
      </c>
      <c r="G2" s="3" t="n">
        <v>0.016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42624.24506962581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7544.491377323768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5428.899063728622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3987.561070822048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0.07872000000000001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0.03071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0.0709735865</v>
      </c>
    </row>
    <row r="20">
      <c r="A20" t="inlineStr">
        <is>
          <t>Sum of PV of FCF</t>
        </is>
      </c>
      <c r="B20" s="4">
        <f>SUM(C15:G15)</f>
        <v/>
      </c>
      <c r="C20" s="4" t="n">
        <v>22165.44187139205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5162.385192890956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93906.64720212416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68975.03274216867</v>
      </c>
    </row>
    <row r="24">
      <c r="A24" t="inlineStr">
        <is>
          <t>Enterprise value</t>
        </is>
      </c>
      <c r="B24" s="4">
        <f>B20+B23</f>
        <v/>
      </c>
      <c r="C24" s="4" t="n">
        <v>91140.47461356071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9737.448307712826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98334.02630584789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97621.80889351647</v>
      </c>
    </row>
    <row r="28">
      <c r="A28" t="inlineStr">
        <is>
          <t>Value per share (EUR)</t>
        </is>
      </c>
      <c r="B28" s="4">
        <f>B27/Inputs!$B$30</f>
        <v/>
      </c>
      <c r="C28" s="4" t="n">
        <v>45.31428179350093</v>
      </c>
    </row>
    <row r="29">
      <c r="A29" t="inlineStr">
        <is>
          <t>Value per share (pence)</t>
        </is>
      </c>
      <c r="B29" s="4">
        <f>B28/Inputs!$B$31*100</f>
        <v/>
      </c>
      <c r="C29" s="4" t="n">
        <v>3834.02189216612</v>
      </c>
    </row>
    <row r="30">
      <c r="A30" t="inlineStr">
        <is>
          <t>Upside vs share price</t>
        </is>
      </c>
      <c r="B30" s="6">
        <f>B29/Inputs!$B$32-1</f>
        <v/>
      </c>
      <c r="C30" s="6" t="n">
        <v>-0.1860690177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2026-10-14T13:53:08Z</dcterms:created>
  <dcterms:modified xmlns:dcterms="http://purl.org/dc/terms/" xmlns:xsi="http://www.w3.org/2001/XMLSchema-instance" xsi:type="dcterms:W3CDTF">2026-10-14T13:53:08Z</dcterms:modified>
</cp:coreProperties>
</file>