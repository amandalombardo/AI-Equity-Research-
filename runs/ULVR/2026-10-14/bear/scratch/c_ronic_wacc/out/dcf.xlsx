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0.06010785890693553</v>
      </c>
      <c r="C7" t="inlineStr">
        <is>
          <t>PM rule: return on new investment 6.5%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35247.6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35890.5 - 642.9. FLAG: if closing comes before the July ex-date, 2 quarters (+c.8p)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698.6</v>
      </c>
      <c r="C25" t="inlineStr">
        <is>
          <t>PM decision 15 Oct 2026 (evidence audit): plans in deficit 944 (funded in deficit 100 + unfunded 844, Unilever FY25 Form 20-F (SEC accession 0000217410-26-000007, filed 12 Mar 2026) p.131) x (1 - 26% tax, briefs/ULVR.yaml tax_rate) = 698.6. The net surplus (3,518) is not offset against them; surpluses are not added (brief rule)</t>
        </is>
      </c>
    </row>
    <row r="26">
      <c r="A26" t="inlineStr">
        <is>
          <t>Associates and equity stakes (EUR m)</t>
        </is>
      </c>
      <c r="B26" s="2" t="n">
        <v>7533.5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 JV value recomputed 15 Oct 2026 at the new cost of equity 7.1645% (ERP 4.2%): 229 x 1.016 / (7.1645% - 1.6%) = 4181.2 (was 3709.6 at 7.8720%)</t>
        </is>
      </c>
    </row>
    <row r="27">
      <c r="A27" t="inlineStr">
        <is>
          <t>Disposal proceeds not in net debt (EUR m)</t>
        </is>
      </c>
      <c r="B27" s="2" t="n">
        <v>33312.4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33955.3 - 642.9. FLAG: if closing comes before the July ex-date, 2 quarters (+c.8p)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0.02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43260.42783185904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7657.095726239049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5509.927407963378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4149.533706350344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0.07164480000000001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0.06503997002</v>
      </c>
    </row>
    <row r="20">
      <c r="A20" t="inlineStr">
        <is>
          <t>Sum of PV of FCF</t>
        </is>
      </c>
      <c r="B20" s="4">
        <f>SUM(C15:G15)</f>
        <v/>
      </c>
      <c r="C20" s="4" t="n">
        <v>22867.77215716328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4340.696619372622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88513.44357678753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66659.59283895168</v>
      </c>
    </row>
    <row r="24">
      <c r="A24" t="inlineStr">
        <is>
          <t>Enterprise value</t>
        </is>
      </c>
      <c r="B24" s="4">
        <f>B20+B23</f>
        <v/>
      </c>
      <c r="C24" s="4" t="n">
        <v>89527.36499611496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9565.103676184923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96533.56131993004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95414.57070342262</v>
      </c>
    </row>
    <row r="28">
      <c r="A28" t="inlineStr">
        <is>
          <t>Value per share (EUR)</t>
        </is>
      </c>
      <c r="B28" s="4">
        <f>B27/Inputs!$B$30</f>
        <v/>
      </c>
      <c r="C28" s="4" t="n">
        <v>44.28972166226644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3747.334300141721</v>
      </c>
    </row>
    <row r="30">
      <c r="A30" t="inlineStr">
        <is>
          <t>Upside vs share price</t>
        </is>
      </c>
      <c r="B30" s="6">
        <f>B29/Inputs!$B$32-1</f>
        <v/>
      </c>
      <c r="C30" s="6" t="n">
        <v>-0.204472073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2026-10-15T11:57:23Z</dcterms:created>
  <dcterms:modified xmlns:dcterms="http://purl.org/dc/terms/" xmlns:xsi="http://www.w3.org/2001/XMLSchema-instance" xsi:type="dcterms:W3CDTF">2026-10-15T11:57:23Z</dcterms:modified>
</cp:coreProperties>
</file>