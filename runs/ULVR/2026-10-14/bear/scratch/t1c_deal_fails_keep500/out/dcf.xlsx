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50503</v>
      </c>
      <c r="C2" t="inlineStr">
        <is>
          <t>BEAR SCRATCH (bear/run_bear.py): deal fails: whole-group FY25 turnover 50,503 (FY25 results 6-K). Base value was 39803.0; base source: 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0.18847</v>
      </c>
      <c r="C3" t="inlineStr">
        <is>
          <t>BEAR SCRATCH (bear/run_bear.py): deal fails: group underlying margin 19.9671% (10,084/50,503) less FY23-25 average restructuring 1.1205% (margin evidence pack, same rule as decision 3). Base value was 0.177; base source: 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0.04042288815358755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1935.2</v>
      </c>
      <c r="C20" t="inlineStr">
        <is>
          <t>BEAR SCRATCH (bear/run_bear.py): deal fails: only the TMICC stake (and any fee) is priced today. Base value was 35247.6;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0.07929</v>
      </c>
      <c r="C24" t="inlineStr">
        <is>
          <t>BEAR SCRATCH (bear/run_bear.py): deal fails: Group ratio 587/7,403 without the x10,084/7,484 ex-perimeter uplift (Fundamentals notes). Base value was 0.10684; base source: 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7533.5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0</v>
      </c>
      <c r="C27" t="inlineStr">
        <is>
          <t>BEAR SCRATCH (bear/run_bear.py): deal fails: no consideration; no break fee (payable only 'under specified circumstances'). Base value was 33312.4; base source: 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54082.66333571119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10192.95955888149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7347.360027446123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5533.306671611511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0.07164480000000001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0.06503997002</v>
      </c>
    </row>
    <row r="20">
      <c r="A20" t="inlineStr">
        <is>
          <t>Sum of PV of FCF</t>
        </is>
      </c>
      <c r="B20" s="4">
        <f>SUM(C15:G15)</f>
        <v/>
      </c>
      <c r="C20" s="4" t="n">
        <v>30405.91916213008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6974.623054996696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142223.2324398288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107108.5067259187</v>
      </c>
    </row>
    <row r="24">
      <c r="A24" t="inlineStr">
        <is>
          <t>Enterprise value</t>
        </is>
      </c>
      <c r="B24" s="4">
        <f>B20+B23</f>
        <v/>
      </c>
      <c r="C24" s="4" t="n">
        <v>137514.4258880488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10903.51882866339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109869.8070593854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111359.17916583</v>
      </c>
    </row>
    <row r="28">
      <c r="A28" t="inlineStr">
        <is>
          <t>Value per share (EUR)</t>
        </is>
      </c>
      <c r="B28" s="4">
        <f>B27/Inputs!$B$30</f>
        <v/>
      </c>
      <c r="C28" s="4" t="n">
        <v>51.69092113953359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4373.546604541534</v>
      </c>
    </row>
    <row r="30">
      <c r="A30" t="inlineStr">
        <is>
          <t>Upside vs share price</t>
        </is>
      </c>
      <c r="B30" s="6">
        <f>B29/Inputs!$B$32-1</f>
        <v/>
      </c>
      <c r="C30" s="6" t="n">
        <v>-0.0715324054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2026-10-15T11:57:20Z</dcterms:created>
  <dcterms:modified xmlns:dcterms="http://purl.org/dc/terms/" xmlns:xsi="http://www.w3.org/2001/XMLSchema-instance" xsi:type="dcterms:W3CDTF">2026-10-15T11:57:20Z</dcterms:modified>
</cp:coreProperties>
</file>