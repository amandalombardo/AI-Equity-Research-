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0.177</v>
      </c>
      <c r="C3" t="inlineStr">
        <is>
          <t>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0.0396599398389808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0.0345</v>
      </c>
      <c r="C10" t="inlineStr">
        <is>
          <t>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0.91</v>
      </c>
      <c r="C12" t="inlineStr">
        <is>
          <t>BEAR SCRATCH (bear/run_bear.py): risk/notes.md sensitivity. Base value was 0.8844; base source: 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0.0415</v>
      </c>
      <c r="C13" t="inlineStr">
        <is>
          <t>risk-free 3.45%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35247.6</v>
      </c>
      <c r="C20" t="inlineStr">
        <is>
          <t>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35890.5 - 642.9. FLAG: if closing comes before the July ex-date, 2 quarters (+c.8p)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698.6</v>
      </c>
      <c r="C25" t="inlineStr">
        <is>
          <t>PM decision 15 Oct 2026 (evidence audit): plans in deficit 944 (funded in deficit 100 + unfunded 844, Unilever FY25 Form 20-F (SEC accession 0000217410-26-000007, filed 12 Mar 2026) p.131) x (1 - 26% tax, briefs/ULVR.yaml tax_rate) = 698.6. The net surplus (3,518) is not offset against them; surpluses are not added (brief rule)</t>
        </is>
      </c>
    </row>
    <row r="26">
      <c r="A26" t="inlineStr">
        <is>
          <t>Associates and equity stakes (EUR m)</t>
        </is>
      </c>
      <c r="B26" s="2" t="n">
        <v>7454.2</v>
      </c>
      <c r="C26" t="inlineStr">
        <is>
          <t>BEAR SCRATCH (bear/run_bear.py): JVs by Gordon growth at Ke 7.2720% and g 1.6% = 4,102.0 (apply_pm_decision10.py formula). Base value was 7533.5; base source: 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 JV value recomputed 15 Oct 2026 at the new cost of equity 7.1645% (ERP 4.2%): 229 x 1.016 / (7.1645% - 1.6%) = 4181.2 (was 3709.6 at 7.8720%)</t>
        </is>
      </c>
    </row>
    <row r="27">
      <c r="A27" t="inlineStr">
        <is>
          <t>Disposal proceeds not in net debt (EUR m)</t>
        </is>
      </c>
      <c r="B27" s="2" t="n">
        <v>33312.4</v>
      </c>
      <c r="C27" t="inlineStr">
        <is>
          <t>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33955.3 - 642.9. FLAG: if closing comes before the July ex-date, 2 quarters (+c.8p)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0.02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43260.42783185904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7657.095726239049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5509.927407963378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4133.761028790381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0.07272000000000001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0.03071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0.06594168650000001</v>
      </c>
    </row>
    <row r="20">
      <c r="A20" t="inlineStr">
        <is>
          <t>Sum of PV of FCF</t>
        </is>
      </c>
      <c r="B20" s="4">
        <f>SUM(C15:G15)</f>
        <v/>
      </c>
      <c r="C20" s="4" t="n">
        <v>22821.30585705687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5239.435718157987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104911.0689955972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78708.34883885298</v>
      </c>
    </row>
    <row r="24">
      <c r="A24" t="inlineStr">
        <is>
          <t>Enterprise value</t>
        </is>
      </c>
      <c r="B24" s="4">
        <f>B20+B23</f>
        <v/>
      </c>
      <c r="C24" s="4" t="n">
        <v>101529.6546959098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10847.42830771101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107174.2263881988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106710.1193320321</v>
      </c>
    </row>
    <row r="28">
      <c r="A28" t="inlineStr">
        <is>
          <t>Value per share (EUR)</t>
        </is>
      </c>
      <c r="B28" s="4">
        <f>B27/Inputs!$B$30</f>
        <v/>
      </c>
      <c r="C28" s="4" t="n">
        <v>49.5329114717005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4190.958334739918</v>
      </c>
    </row>
    <row r="30">
      <c r="A30" t="inlineStr">
        <is>
          <t>Upside vs share price</t>
        </is>
      </c>
      <c r="B30" s="6">
        <f>B29/Inputs!$B$32-1</f>
        <v/>
      </c>
      <c r="C30" s="6" t="n">
        <v>-0.1102943775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2026-10-15T11:57:32Z</dcterms:created>
  <dcterms:modified xmlns:dcterms="http://purl.org/dc/terms/" xmlns:xsi="http://www.w3.org/2001/XMLSchema-instance" xsi:type="dcterms:W3CDTF">2026-10-15T11:57:32Z</dcterms:modified>
</cp:coreProperties>
</file>