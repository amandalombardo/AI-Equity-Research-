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0.055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35247.6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6817.5</v>
      </c>
      <c r="C26" t="inlineStr">
        <is>
          <t>BEAR SCRATCH (bear/run_bear.py): JVs by Gordon growth at Ke 8.3142% and g 1.6% = 3,465.3 (apply_pm_decision10.py formula). Base value was 7533.5; base source: 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33312.4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7657.095726239049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5509.927407963378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3984.609941459697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0.08314199999999999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0.0746820968</v>
      </c>
    </row>
    <row r="20">
      <c r="A20" t="inlineStr">
        <is>
          <t>Sum of PV of FCF</t>
        </is>
      </c>
      <c r="B20" s="4">
        <f>SUM(C15:G15)</f>
        <v/>
      </c>
      <c r="C20" s="4" t="n">
        <v>22379.39618699153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5239.435718157987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89285.08018408073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64568.22237101221</v>
      </c>
    </row>
    <row r="24">
      <c r="A24" t="inlineStr">
        <is>
          <t>Enterprise value</t>
        </is>
      </c>
      <c r="B24" s="4">
        <f>B20+B23</f>
        <v/>
      </c>
      <c r="C24" s="4" t="n">
        <v>86947.61855800374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9289.483566737121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93513.43499126662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92743.98748456835</v>
      </c>
    </row>
    <row r="28">
      <c r="A28" t="inlineStr">
        <is>
          <t>Value per share (EUR)</t>
        </is>
      </c>
      <c r="B28" s="4">
        <f>B27/Inputs!$B$30</f>
        <v/>
      </c>
      <c r="C28" s="4" t="n">
        <v>43.05008513121058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3642.449186436163</v>
      </c>
    </row>
    <row r="30">
      <c r="A30" t="inlineStr">
        <is>
          <t>Upside vs share price</t>
        </is>
      </c>
      <c r="B30" s="6">
        <f>B29/Inputs!$B$32-1</f>
        <v/>
      </c>
      <c r="C30" s="6" t="n">
        <v>-0.2267383109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2026-10-15T11:57:27Z</dcterms:created>
  <dcterms:modified xmlns:dcterms="http://purl.org/dc/terms/" xmlns:xsi="http://www.w3.org/2001/XMLSchema-instance" xsi:type="dcterms:W3CDTF">2026-10-15T11:57:27Z</dcterms:modified>
</cp:coreProperties>
</file>