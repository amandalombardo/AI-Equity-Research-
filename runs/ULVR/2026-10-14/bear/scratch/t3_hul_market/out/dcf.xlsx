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0.0318</v>
      </c>
      <c r="C10" t="inlineStr">
        <is>
          <t>FRED IRLTLT01DEM156N (German 10-year Bund yield, OECD monthly average), latest month 2026-08-01 (Aug 2026 average 3.18%); PM decision 7: euro cash flows -&gt; Bund, not the gilt.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0.0388</v>
      </c>
      <c r="C13" t="inlineStr">
        <is>
          <t>risk-free 3.18%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20383.5</v>
      </c>
      <c r="C20" t="inlineStr">
        <is>
          <t>BEAR SCRATCH (bear/run_bear.py): HUL market value is a 13 Oct 2026 price: netted in the items not grown. Base value was 35890.5;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15995</v>
      </c>
      <c r="C23" t="inlineStr">
        <is>
          <t>BEAR SCRATCH (bear/run_bear.py): HUL outside 38.1% at market EUR 15,507m + other minorities at book (2,057 - 1,569) (minorities evidence pack). Base value was 2057.0; base source: 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7228.7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7.6020% - 1.6%) = 3,876.4, cost of equity = risk-free 3.18%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4031.190822495119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0.07602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0.028712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0.0683868542</v>
      </c>
    </row>
    <row r="20">
      <c r="A20" t="inlineStr">
        <is>
          <t>Sum of PV of FCF</t>
        </is>
      </c>
      <c r="B20" s="4">
        <f>SUM(C15:G15)</f>
        <v/>
      </c>
      <c r="C20" s="4" t="n">
        <v>22294.53449265338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5162.385192890956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98543.52340345255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73172.80032233591</v>
      </c>
    </row>
    <row r="24">
      <c r="A24" t="inlineStr">
        <is>
          <t>Enterprise value</t>
        </is>
      </c>
      <c r="B24" s="4">
        <f>B20+B23</f>
        <v/>
      </c>
      <c r="C24" s="4" t="n">
        <v>95467.33481498928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15995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97080.33481498928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97082.91227387746</v>
      </c>
    </row>
    <row r="28">
      <c r="A28" t="inlineStr">
        <is>
          <t>Value per share (EUR)</t>
        </is>
      </c>
      <c r="B28" s="4">
        <f>B27/Inputs!$B$30</f>
        <v/>
      </c>
      <c r="C28" s="4" t="n">
        <v>45.06413570876157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3812.85713952807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-0.1905621188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2026-10-14T10:05:00Z</dcterms:created>
  <dcterms:modified xmlns:dcterms="http://purl.org/dc/terms/" xmlns:xsi="http://www.w3.org/2001/XMLSchema-instance" xsi:type="dcterms:W3CDTF">2026-10-14T10:05:00Z</dcterms:modified>
</cp:coreProperties>
</file>