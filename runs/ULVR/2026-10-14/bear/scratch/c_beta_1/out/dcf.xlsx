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0.0318</v>
      </c>
      <c r="C10" t="inlineStr">
        <is>
          <t>FRED IRLTLT01DEM156N (German 10-year Bund yield, OECD monthly average), latest month 2026-08-01 (Aug 2026 average 3.18%); PM decision 7: euro cash flows -&gt; Bund, not the gilt.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0.9998</v>
      </c>
      <c r="C12" t="inlineStr">
        <is>
          <t>BEAR SCRATCH (bear/run_bear.py): risk/notes.md sensitivity. Base value was 0.8844; base source: 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0.0388</v>
      </c>
      <c r="C13" t="inlineStr">
        <is>
          <t>risk-free 3.18%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6888.7</v>
      </c>
      <c r="C26" t="inlineStr">
        <is>
          <t>BEAR SCRATCH (bear/run_bear.py): JVs by Gordon growth at Ke 8.1790% and g 1.6% = 3,536.5 (apply_pm_decision10.py formula). Base value was 7228.7;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7.6020% - 1.6%) = 3,876.4, cost of equity = risk-free 3.18%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3950.041690868114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0.08179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0.028712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0.0732258647</v>
      </c>
    </row>
    <row r="20">
      <c r="A20" t="inlineStr">
        <is>
          <t>Sum of PV of FCF</t>
        </is>
      </c>
      <c r="B20" s="4">
        <f>SUM(C15:G15)</f>
        <v/>
      </c>
      <c r="C20" s="4" t="n">
        <v>22054.10923916139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90210.69790651771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65636.8839262078</v>
      </c>
    </row>
    <row r="24">
      <c r="A24" t="inlineStr">
        <is>
          <t>Enterprise value</t>
        </is>
      </c>
      <c r="B24" s="4">
        <f>B20+B23</f>
        <v/>
      </c>
      <c r="C24" s="4" t="n">
        <v>87690.99316536919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9368.905709788045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95590.08745558115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94851.16535829486</v>
      </c>
    </row>
    <row r="28">
      <c r="A28" t="inlineStr">
        <is>
          <t>Value per share (EUR)</t>
        </is>
      </c>
      <c r="B28" s="4">
        <f>B27/Inputs!$B$30</f>
        <v/>
      </c>
      <c r="C28" s="4" t="n">
        <v>44.02819906949281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3725.206986052106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-0.2091695179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2026-10-14T10:05:03Z</dcterms:created>
  <dcterms:modified xmlns:dcterms="http://purl.org/dc/terms/" xmlns:xsi="http://www.w3.org/2001/XMLSchema-instance" xsi:type="dcterms:W3CDTF">2026-10-14T10:05:03Z</dcterms:modified>
</cp:coreProperties>
</file>