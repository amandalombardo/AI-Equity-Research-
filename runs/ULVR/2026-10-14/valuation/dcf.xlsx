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Net debt (EUR m)</t>
        </is>
      </c>
      <c r="B20" s="2" t="n">
        <v>23076</v>
      </c>
      <c r="C20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1">
      <c r="A21" t="inlineStr">
        <is>
          <t>Lease liabilities not in net debt (EUR m)</t>
        </is>
      </c>
      <c r="B21" s="2" t="n">
        <v>0</v>
      </c>
      <c r="C21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2">
      <c r="A22" t="inlineStr">
        <is>
          <t>Minority interests at book (EUR m)</t>
        </is>
      </c>
      <c r="B22" s="2" t="n">
        <v>2057</v>
      </c>
      <c r="C22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3">
      <c r="A23" t="inlineStr">
        <is>
          <t>Minorities' share of operating profit (proportionate method; blank = use book)</t>
        </is>
      </c>
      <c r="B23" s="2" t="n">
        <v>0.10684</v>
      </c>
      <c r="C23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4">
      <c r="A24" t="inlineStr">
        <is>
          <t>Pension deficit (EUR m)</t>
        </is>
      </c>
      <c r="B24" s="2" t="n">
        <v>0</v>
      </c>
      <c r="C24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5">
      <c r="A25" t="inlineStr">
        <is>
          <t>Associates and equity stakes (EUR m)</t>
        </is>
      </c>
      <c r="B25" s="2" t="n">
        <v>7228.7</v>
      </c>
      <c r="C25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6">
      <c r="A26" t="inlineStr">
        <is>
          <t>Disposal proceeds not in net debt (EUR m)</t>
        </is>
      </c>
      <c r="B26" s="2" t="n">
        <v>33955.3</v>
      </c>
      <c r="C26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7">
      <c r="A27" t="inlineStr">
        <is>
          <t>Restructuring cash still to pay (EUR m)</t>
        </is>
      </c>
      <c r="B27" s="2" t="n">
        <v>500</v>
      </c>
      <c r="C27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8">
      <c r="A28" t="inlineStr">
        <is>
          <t>Contingent liabilities assumed paid, e.g. a lost tax case (EUR m)</t>
        </is>
      </c>
      <c r="B28" s="2" t="n">
        <v>0</v>
      </c>
      <c r="C28" t="inlineStr">
        <is>
          <t>not in this brief's bridge (0)</t>
        </is>
      </c>
    </row>
    <row r="29">
      <c r="A29" t="inlineStr">
        <is>
          <t>Ordinary shares (m)</t>
        </is>
      </c>
      <c r="B29" s="2" t="n">
        <v>2154.327621</v>
      </c>
      <c r="C29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0">
      <c r="A30" t="inlineStr">
        <is>
          <t>EUR per GBP</t>
        </is>
      </c>
      <c r="B30" s="2" t="n">
        <v>1.181899401411596</v>
      </c>
      <c r="C30" t="inlineStr">
        <is>
          <t>FRED DEXUSUK / DEXUSEU (EUR per GBP, noon buying rates New York), 2026-10-09 (USD per GBP 1.3229 / USD per EUR 1.1193); Yahoo EURGBP=X 2026-10-12: 1.18373.</t>
        </is>
      </c>
    </row>
    <row r="31">
      <c r="A31" t="inlineStr">
        <is>
          <t>Share price (pence)</t>
        </is>
      </c>
      <c r="B31" s="2" t="n">
        <v>4710.5</v>
      </c>
      <c r="C31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4031.190822495119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22294.53449265338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98543.52340345255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73172.80032233591</v>
      </c>
    </row>
    <row r="24">
      <c r="A24" t="inlineStr">
        <is>
          <t>Enterprise value</t>
        </is>
      </c>
      <c r="B24" s="4">
        <f>B20+B23</f>
        <v/>
      </c>
      <c r="C24" s="4" t="n">
        <v>95467.33481498928</v>
      </c>
    </row>
    <row r="25">
      <c r="A25" t="inlineStr">
        <is>
          <t>Minority interests deducted</t>
        </is>
      </c>
      <c r="B25" s="4">
        <f>IF(ISBLANK(Inputs!$B$23),Inputs!$B$22,Inputs!$B$23*B24)</f>
        <v/>
      </c>
      <c r="C25" s="4" t="n">
        <v>10199.73005163346</v>
      </c>
    </row>
    <row r="26">
      <c r="A26" t="inlineStr">
        <is>
          <t>Equity value at balance sheet date</t>
        </is>
      </c>
      <c r="B26" s="4">
        <f>B24-Inputs!$B$20-Inputs!$B$21-B25-Inputs!$B$24-Inputs!$B$27-Inputs!$B$28+Inputs!$B$25+Inputs!$B$26</f>
        <v/>
      </c>
      <c r="C26" s="4" t="n">
        <v>102875.6047633558</v>
      </c>
    </row>
    <row r="27">
      <c r="A27" t="inlineStr">
        <is>
          <t>Equity value at valuation date</t>
        </is>
      </c>
      <c r="B27" s="4">
        <f>B26*(1+B17)^Inputs!$B$17-Inputs!$B$18-Inputs!$B$19</f>
        <v/>
      </c>
      <c r="C27" s="4" t="n">
        <v>104430.6703714851</v>
      </c>
    </row>
    <row r="28">
      <c r="A28" t="inlineStr">
        <is>
          <t>Value per share (EUR)</t>
        </is>
      </c>
      <c r="B28" s="4">
        <f>B27/Inputs!$B$29</f>
        <v/>
      </c>
      <c r="C28" s="4" t="n">
        <v>48.47483240409379</v>
      </c>
    </row>
    <row r="29">
      <c r="A29" t="inlineStr">
        <is>
          <t>Value per share (pence)</t>
        </is>
      </c>
      <c r="B29" s="4">
        <f>B28/Inputs!$B$30*100</f>
        <v/>
      </c>
      <c r="C29" s="4" t="n">
        <v>4101.434719926086</v>
      </c>
    </row>
    <row r="30">
      <c r="A30" t="inlineStr">
        <is>
          <t>Upside vs share price</t>
        </is>
      </c>
      <c r="B30" s="6">
        <f>B29/Inputs!$B$31-1</f>
        <v/>
      </c>
      <c r="C30" s="6" t="n">
        <v>-0.1292994969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2026-10-14T09:44:59Z</dcterms:created>
  <dcterms:modified xmlns:dcterms="http://purl.org/dc/terms/" xmlns:xsi="http://www.w3.org/2001/XMLSchema-instance" xsi:type="dcterms:W3CDTF">2026-10-14T09:44:59Z</dcterms:modified>
</cp:coreProperties>
</file>