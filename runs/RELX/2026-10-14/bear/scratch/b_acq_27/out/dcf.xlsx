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0.09799999999999999</v>
      </c>
      <c r="C6" t="inlineStr">
        <is>
          <t>BEAR SCRATCH (bear/run_bear.py): brief bear line: capex 7.10% + acquisitions 2.70% of revenue (FY21-25, SEC XBRL). Base value was 0.071; base source: 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2765.000996148432</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1882.208737468233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10113.7502542251</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41593.51174104817</v>
      </c>
    </row>
    <row r="23">
      <c r="A23" t="inlineStr">
        <is>
          <t>PV of terminal value</t>
        </is>
      </c>
      <c r="B23" s="4">
        <f>B22/(1+WACC)^(5-Inputs!$B$16-0.5)</f>
        <v/>
      </c>
      <c r="C23" s="4" t="n">
        <v>28313.79494258443</v>
      </c>
    </row>
    <row r="24">
      <c r="A24" t="inlineStr">
        <is>
          <t>Enterprise value</t>
        </is>
      </c>
      <c r="B24" s="4">
        <f>B20+B23</f>
        <v/>
      </c>
      <c r="C24" s="4" t="n">
        <v>38427.54519680953</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31430.54519680953</v>
      </c>
    </row>
    <row r="27">
      <c r="A27" t="inlineStr">
        <is>
          <t>Equity value at valuation date</t>
        </is>
      </c>
      <c r="B27" s="4">
        <f>(B26-Inputs!$B$20)*(1+B17)^Inputs!$B$17+Inputs!$B$20-Inputs!$B$18-Inputs!$B$19</f>
        <v/>
      </c>
      <c r="C27" s="4" t="n">
        <v>30482.54212802797</v>
      </c>
    </row>
    <row r="28">
      <c r="A28" t="inlineStr">
        <is>
          <t>Value per share (GBP)</t>
        </is>
      </c>
      <c r="B28" s="4">
        <f>B27/Inputs!$B$30</f>
        <v/>
      </c>
      <c r="C28" s="4" t="n">
        <v>17.48098035580434</v>
      </c>
    </row>
    <row r="29">
      <c r="A29" t="inlineStr">
        <is>
          <t>Value per share (pence)</t>
        </is>
      </c>
      <c r="B29" s="4">
        <f>B28/Inputs!$B$31*100</f>
        <v/>
      </c>
      <c r="C29" s="4" t="n">
        <v>1748.098035580434</v>
      </c>
    </row>
    <row r="30">
      <c r="A30" t="inlineStr">
        <is>
          <t>Upside vs share price</t>
        </is>
      </c>
      <c r="B30" s="6">
        <f>B29/Inputs!$B$32-1</f>
        <v/>
      </c>
      <c r="C30" s="6" t="n">
        <v>-0.369145422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2026-10-15T08:19:27Z</dcterms:created>
  <dcterms:modified xmlns:dcterms="http://purl.org/dc/terms/" xmlns:xsi="http://www.w3.org/2001/XMLSchema-instance" xsi:type="dcterms:W3CDTF">2026-10-15T08:19:27Z</dcterms:modified>
</cp:coreProperties>
</file>