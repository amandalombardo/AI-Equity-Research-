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0.32385</v>
      </c>
      <c r="C3" t="inlineStr">
        <is>
          <t>BEAR SCRATCH (bear/run_bear.py): stacked bear margin.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0.25</v>
      </c>
      <c r="C4" t="inlineStr">
        <is>
          <t>BEAR SCRATCH (bear/run_bear.py): brief bear line: weighted statutory rate 25.0% (AR25 p.159). Base value was 0.228; base source: 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0.09799999999999999</v>
      </c>
      <c r="C6" t="inlineStr">
        <is>
          <t>BEAR SCRATCH (bear/run_bear.py): brief bear line: capex 7.10% + acquisitions 2.70% of revenue (FY21-25, SEC XBRL). Base value was 0.071; base source: 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0.08731596390032623</v>
      </c>
      <c r="C7" t="inlineStr">
        <is>
          <t>PM rule: return on new investment 10.6%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0.0648</v>
      </c>
      <c r="C13" t="inlineStr">
        <is>
          <t>risk-free 5.45% + credit spread 1.03%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0.015</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3888.274610829658</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2437.076029934799</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1612.308079854636</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0.0486</v>
      </c>
    </row>
    <row r="19">
      <c r="A19" t="inlineStr">
        <is>
          <t>WACC</t>
        </is>
      </c>
      <c r="B19" s="6">
        <f>(1-Inputs!$B$14)*B17+Inputs!$B$14*B18</f>
        <v/>
      </c>
      <c r="C19" s="6" t="n">
        <v>0.09615342190000001</v>
      </c>
    </row>
    <row r="20">
      <c r="A20" t="inlineStr">
        <is>
          <t>Sum of PV of FCF</t>
        </is>
      </c>
      <c r="B20" s="4">
        <f>SUM(C15:G15)</f>
        <v/>
      </c>
      <c r="C20" s="4" t="n">
        <v>8774.992631812014</v>
      </c>
    </row>
    <row r="21">
      <c r="A21" t="inlineStr">
        <is>
          <t>Terminal-year FCF (normalised, grows at g)</t>
        </is>
      </c>
      <c r="B21" s="4">
        <f>G7*(1+Inputs!$B$15)+G3*(1+Inputs!$B$15)*Inputs!$B$5-G3*(1+Inputs!$B$15)*Inputs!$B$7-G3*Inputs!$B$15*Inputs!$B$8</f>
        <v/>
      </c>
      <c r="C21" s="4" t="n">
        <v>2541.692043806841</v>
      </c>
    </row>
    <row r="22">
      <c r="A22" t="inlineStr">
        <is>
          <t>Terminal value (Gordon growth)</t>
        </is>
      </c>
      <c r="B22" s="4">
        <f>B21/(WACC-Inputs!$B$15)</f>
        <v/>
      </c>
      <c r="C22" s="4" t="n">
        <v>31319.59175965247</v>
      </c>
    </row>
    <row r="23">
      <c r="A23" t="inlineStr">
        <is>
          <t>PV of terminal value</t>
        </is>
      </c>
      <c r="B23" s="4">
        <f>B22/(1+WACC)^(5-Inputs!$B$16-0.5)</f>
        <v/>
      </c>
      <c r="C23" s="4" t="n">
        <v>20720.25256150393</v>
      </c>
    </row>
    <row r="24">
      <c r="A24" t="inlineStr">
        <is>
          <t>Enterprise value</t>
        </is>
      </c>
      <c r="B24" s="4">
        <f>B20+B23</f>
        <v/>
      </c>
      <c r="C24" s="4" t="n">
        <v>29495.24519331595</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22498.24519331595</v>
      </c>
    </row>
    <row r="27">
      <c r="A27" t="inlineStr">
        <is>
          <t>Equity value at valuation date</t>
        </is>
      </c>
      <c r="B27" s="4">
        <f>(B26-Inputs!$B$20)*(1+B17)^Inputs!$B$17+Inputs!$B$20-Inputs!$B$18-Inputs!$B$19</f>
        <v/>
      </c>
      <c r="C27" s="4" t="n">
        <v>21023.86672233645</v>
      </c>
    </row>
    <row r="28">
      <c r="A28" t="inlineStr">
        <is>
          <t>Value per share (GBP)</t>
        </is>
      </c>
      <c r="B28" s="4">
        <f>B27/Inputs!$B$30</f>
        <v/>
      </c>
      <c r="C28" s="4" t="n">
        <v>12.05666507841183</v>
      </c>
    </row>
    <row r="29">
      <c r="A29" t="inlineStr">
        <is>
          <t>Value per share (pence)</t>
        </is>
      </c>
      <c r="B29" s="4">
        <f>B28/Inputs!$B$31*100</f>
        <v/>
      </c>
      <c r="C29" s="4" t="n">
        <v>1205.666507841183</v>
      </c>
    </row>
    <row r="30">
      <c r="A30" t="inlineStr">
        <is>
          <t>Upside vs share price</t>
        </is>
      </c>
      <c r="B30" s="6">
        <f>B29/Inputs!$B$32-1</f>
        <v/>
      </c>
      <c r="C30" s="6" t="n">
        <v>-0.5648984093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2026-10-15T08:19:31Z</dcterms:created>
  <dcterms:modified xmlns:dcterms="http://purl.org/dc/terms/" xmlns:xsi="http://www.w3.org/2001/XMLSchema-instance" xsi:type="dcterms:W3CDTF">2026-10-15T08:19:31Z</dcterms:modified>
</cp:coreProperties>
</file>