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0.049886</v>
      </c>
      <c r="C10" t="inlineStr">
        <is>
          <t>BEAR SCRATCH (bear/run_bear.py): riskfree evidence option C.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0.056886</v>
      </c>
      <c r="C13" t="inlineStr">
        <is>
          <t>risk-free 4.99%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2142.239837245387</v>
      </c>
    </row>
    <row r="16">
      <c r="A16" s="1" t="inlineStr">
        <is>
          <t>Valuation</t>
        </is>
      </c>
      <c r="C16" s="1" t="inlineStr">
        <is>
          <t>Python check</t>
        </is>
      </c>
    </row>
    <row r="17">
      <c r="A17" t="inlineStr">
        <is>
          <t>Cost of equity = Rf + beta x ERP</t>
        </is>
      </c>
      <c r="B17" s="6">
        <f>Inputs!$B$10+Inputs!$B$12*Inputs!$B$11</f>
        <v/>
      </c>
      <c r="C17" s="6" t="n">
        <v>0.0907478</v>
      </c>
    </row>
    <row r="18">
      <c r="A18" t="inlineStr">
        <is>
          <t>After-tax cost of debt</t>
        </is>
      </c>
      <c r="B18" s="6">
        <f>Inputs!$B$13*(1-Inputs!$B$4)</f>
        <v/>
      </c>
      <c r="C18" s="6" t="n">
        <v>0.043915992</v>
      </c>
    </row>
    <row r="19">
      <c r="A19" t="inlineStr">
        <is>
          <t>WACC</t>
        </is>
      </c>
      <c r="B19" s="6">
        <f>(1-Inputs!$B$14)*B17+Inputs!$B$14*B18</f>
        <v/>
      </c>
      <c r="C19" s="6" t="n">
        <v>0.08474489885056001</v>
      </c>
    </row>
    <row r="20">
      <c r="A20" t="inlineStr">
        <is>
          <t>Sum of PV of FCF</t>
        </is>
      </c>
      <c r="B20" s="4">
        <f>SUM(C15:G15)</f>
        <v/>
      </c>
      <c r="C20" s="4" t="n">
        <v>11416.68988688496</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44471.01741435959</v>
      </c>
    </row>
    <row r="23">
      <c r="A23" t="inlineStr">
        <is>
          <t>PV of terminal value</t>
        </is>
      </c>
      <c r="B23" s="4">
        <f>B22/(1+WACC)^(5-Inputs!$B$16-0.5)</f>
        <v/>
      </c>
      <c r="C23" s="4" t="n">
        <v>30839.1778278744</v>
      </c>
    </row>
    <row r="24">
      <c r="A24" t="inlineStr">
        <is>
          <t>Enterprise value</t>
        </is>
      </c>
      <c r="B24" s="4">
        <f>B20+B23</f>
        <v/>
      </c>
      <c r="C24" s="4" t="n">
        <v>42255.86771475936</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35258.86771475936</v>
      </c>
    </row>
    <row r="27">
      <c r="A27" t="inlineStr">
        <is>
          <t>Equity value at valuation date</t>
        </is>
      </c>
      <c r="B27" s="4">
        <f>(B26-Inputs!$B$20)*(1+B17)^Inputs!$B$17+Inputs!$B$20-Inputs!$B$18-Inputs!$B$19</f>
        <v/>
      </c>
      <c r="C27" s="4" t="n">
        <v>34469.03807475809</v>
      </c>
    </row>
    <row r="28">
      <c r="A28" t="inlineStr">
        <is>
          <t>Value per share (GBP)</t>
        </is>
      </c>
      <c r="B28" s="4">
        <f>B27/Inputs!$B$30</f>
        <v/>
      </c>
      <c r="C28" s="4" t="n">
        <v>19.76713670853211</v>
      </c>
    </row>
    <row r="29">
      <c r="A29" t="inlineStr">
        <is>
          <t>Value per share (pence)</t>
        </is>
      </c>
      <c r="B29" s="4">
        <f>B28/Inputs!$B$31*100</f>
        <v/>
      </c>
      <c r="C29" s="4" t="n">
        <v>1976.713670853211</v>
      </c>
    </row>
    <row r="30">
      <c r="A30" t="inlineStr">
        <is>
          <t>Upside vs share price</t>
        </is>
      </c>
      <c r="B30" s="6">
        <f>B29/Inputs!$B$32-1</f>
        <v/>
      </c>
      <c r="C30" s="6" t="n">
        <v>-0.2866424862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2026-10-15T08:19:34Z</dcterms:created>
  <dcterms:modified xmlns:dcterms="http://purl.org/dc/terms/" xmlns:xsi="http://www.w3.org/2001/XMLSchema-instance" xsi:type="dcterms:W3CDTF">2026-10-15T08:19:34Z</dcterms:modified>
</cp:coreProperties>
</file>