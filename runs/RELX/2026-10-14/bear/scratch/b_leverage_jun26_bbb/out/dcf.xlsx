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0.08883541889483067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0.994</v>
      </c>
      <c r="C12" t="inlineStr">
        <is>
          <t>BEAR SCRATCH (bear/run_bear.py): risk/notes.md: 0.8737 relevered at 30 Jun 2026 net debt ex leases 8,614. Base value was 0.9729; base source: 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0.0648</v>
      </c>
      <c r="C13" t="inlineStr">
        <is>
          <t>risk-free 5.45% + credit spread 1.03% (PM rule, briefs)</t>
        </is>
      </c>
    </row>
    <row r="14">
      <c r="A14" t="inlineStr">
        <is>
          <t>Debt weight D/(D+E)</t>
        </is>
      </c>
      <c r="B14" s="2" t="n">
        <v>0.1513</v>
      </c>
      <c r="C14" t="inlineStr">
        <is>
          <t>BEAR SCRATCH (bear/run_bear.py): data/notes.md FLAG 5: 8,614 / (8,614 + 48,319.4). Base value was 0.12818; base source: 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2044.978683523766</v>
      </c>
    </row>
    <row r="16">
      <c r="A16" s="1" t="inlineStr">
        <is>
          <t>Valuation</t>
        </is>
      </c>
      <c r="C16" s="1" t="inlineStr">
        <is>
          <t>Python check</t>
        </is>
      </c>
    </row>
    <row r="17">
      <c r="A17" t="inlineStr">
        <is>
          <t>Cost of equity = Rf + beta x ERP</t>
        </is>
      </c>
      <c r="B17" s="6">
        <f>Inputs!$B$10+Inputs!$B$12*Inputs!$B$11</f>
        <v/>
      </c>
      <c r="C17" s="6" t="n">
        <v>0.1042</v>
      </c>
    </row>
    <row r="18">
      <c r="A18" t="inlineStr">
        <is>
          <t>After-tax cost of debt</t>
        </is>
      </c>
      <c r="B18" s="6">
        <f>Inputs!$B$13*(1-Inputs!$B$4)</f>
        <v/>
      </c>
      <c r="C18" s="6" t="n">
        <v>0.0500256</v>
      </c>
    </row>
    <row r="19">
      <c r="A19" t="inlineStr">
        <is>
          <t>WACC</t>
        </is>
      </c>
      <c r="B19" s="6">
        <f>(1-Inputs!$B$14)*B17+Inputs!$B$14*B18</f>
        <v/>
      </c>
      <c r="C19" s="6" t="n">
        <v>0.09600341328000001</v>
      </c>
    </row>
    <row r="20">
      <c r="A20" t="inlineStr">
        <is>
          <t>Sum of PV of FCF</t>
        </is>
      </c>
      <c r="B20" s="4">
        <f>SUM(C15:G15)</f>
        <v/>
      </c>
      <c r="C20" s="4" t="n">
        <v>11133.88536592723</v>
      </c>
    </row>
    <row r="21">
      <c r="A21" t="inlineStr">
        <is>
          <t>Terminal-year FCF (normalised, grows at g)</t>
        </is>
      </c>
      <c r="B21" s="4">
        <f>G7*(1+Inputs!$B$15)+G3*(1+Inputs!$B$15)*Inputs!$B$5-G3*(1+Inputs!$B$15)*Inputs!$B$7-G3*Inputs!$B$15*Inputs!$B$8</f>
        <v/>
      </c>
      <c r="C21" s="4" t="n">
        <v>2879.271524274205</v>
      </c>
    </row>
    <row r="22">
      <c r="A22" t="inlineStr">
        <is>
          <t>Terminal value (Gordon growth)</t>
        </is>
      </c>
      <c r="B22" s="4">
        <f>B21/(WACC-Inputs!$B$15)</f>
        <v/>
      </c>
      <c r="C22" s="4" t="n">
        <v>37883.45022962111</v>
      </c>
    </row>
    <row r="23">
      <c r="A23" t="inlineStr">
        <is>
          <t>PV of terminal value</t>
        </is>
      </c>
      <c r="B23" s="4">
        <f>B22/(1+WACC)^(5-Inputs!$B$16-0.5)</f>
        <v/>
      </c>
      <c r="C23" s="4" t="n">
        <v>25078.17596855731</v>
      </c>
    </row>
    <row r="24">
      <c r="A24" t="inlineStr">
        <is>
          <t>Enterprise value</t>
        </is>
      </c>
      <c r="B24" s="4">
        <f>B20+B23</f>
        <v/>
      </c>
      <c r="C24" s="4" t="n">
        <v>36212.06133448454</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29215.06133448454</v>
      </c>
    </row>
    <row r="27">
      <c r="A27" t="inlineStr">
        <is>
          <t>Equity value at valuation date</t>
        </is>
      </c>
      <c r="B27" s="4">
        <f>(B26-Inputs!$B$20)*(1+B17)^Inputs!$B$17+Inputs!$B$20-Inputs!$B$18-Inputs!$B$19</f>
        <v/>
      </c>
      <c r="C27" s="4" t="n">
        <v>28301.35887335375</v>
      </c>
    </row>
    <row r="28">
      <c r="A28" t="inlineStr">
        <is>
          <t>Value per share (GBP)</t>
        </is>
      </c>
      <c r="B28" s="4">
        <f>B27/Inputs!$B$30</f>
        <v/>
      </c>
      <c r="C28" s="4" t="n">
        <v>16.23012596619258</v>
      </c>
    </row>
    <row r="29">
      <c r="A29" t="inlineStr">
        <is>
          <t>Value per share (pence)</t>
        </is>
      </c>
      <c r="B29" s="4">
        <f>B28/Inputs!$B$31*100</f>
        <v/>
      </c>
      <c r="C29" s="4" t="n">
        <v>1623.012596619258</v>
      </c>
    </row>
    <row r="30">
      <c r="A30" t="inlineStr">
        <is>
          <t>Upside vs share price</t>
        </is>
      </c>
      <c r="B30" s="6">
        <f>B29/Inputs!$B$32-1</f>
        <v/>
      </c>
      <c r="C30" s="6" t="n">
        <v>-0.4142863238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2026-10-15T00:16:44Z</dcterms:created>
  <dcterms:modified xmlns:dcterms="http://purl.org/dc/terms/" xmlns:xsi="http://www.w3.org/2001/XMLSchema-instance" xsi:type="dcterms:W3CDTF">2026-10-15T00:16:44Z</dcterms:modified>
</cp:coreProperties>
</file>