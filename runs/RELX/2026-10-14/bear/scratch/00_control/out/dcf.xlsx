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2044.926705519653</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11133.7332424089</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37880.3647832059</v>
      </c>
    </row>
    <row r="23">
      <c r="A23" t="inlineStr">
        <is>
          <t>PV of terminal value</t>
        </is>
      </c>
      <c r="B23" s="4">
        <f>B22/(1+WACC)^(5-Inputs!$B$16-0.5)</f>
        <v/>
      </c>
      <c r="C23" s="4" t="n">
        <v>25075.49608778312</v>
      </c>
    </row>
    <row r="24">
      <c r="A24" t="inlineStr">
        <is>
          <t>Enterprise value</t>
        </is>
      </c>
      <c r="B24" s="4">
        <f>B20+B23</f>
        <v/>
      </c>
      <c r="C24" s="4" t="n">
        <v>36209.22933019201</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29212.22933019201</v>
      </c>
    </row>
    <row r="27">
      <c r="A27" t="inlineStr">
        <is>
          <t>Equity value at valuation date</t>
        </is>
      </c>
      <c r="B27" s="4">
        <f>(B26-Inputs!$B$20)*(1+B17)^Inputs!$B$17+Inputs!$B$20-Inputs!$B$18-Inputs!$B$19</f>
        <v/>
      </c>
      <c r="C27" s="4" t="n">
        <v>28274.65980173853</v>
      </c>
    </row>
    <row r="28">
      <c r="A28" t="inlineStr">
        <is>
          <t>Value per share (GBP)</t>
        </is>
      </c>
      <c r="B28" s="4">
        <f>B27/Inputs!$B$30</f>
        <v/>
      </c>
      <c r="C28" s="4" t="n">
        <v>16.21481471214875</v>
      </c>
    </row>
    <row r="29">
      <c r="A29" t="inlineStr">
        <is>
          <t>Value per share (pence)</t>
        </is>
      </c>
      <c r="B29" s="4">
        <f>B28/Inputs!$B$31*100</f>
        <v/>
      </c>
      <c r="C29" s="4" t="n">
        <v>1621.481471214875</v>
      </c>
    </row>
    <row r="30">
      <c r="A30" t="inlineStr">
        <is>
          <t>Upside vs share price</t>
        </is>
      </c>
      <c r="B30" s="6">
        <f>B29/Inputs!$B$32-1</f>
        <v/>
      </c>
      <c r="C30" s="6" t="n">
        <v>-0.4148388772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2026-10-15T00:16:41Z</dcterms:created>
  <dcterms:modified xmlns:dcterms="http://purl.org/dc/terms/" xmlns:xsi="http://www.w3.org/2001/XMLSchema-instance" xsi:type="dcterms:W3CDTF">2026-10-15T00:16:41Z</dcterms:modified>
</cp:coreProperties>
</file>