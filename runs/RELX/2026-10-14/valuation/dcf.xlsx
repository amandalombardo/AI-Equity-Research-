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2102.881781249673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11302.6880463898</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41593.51174104817</v>
      </c>
    </row>
    <row r="23">
      <c r="A23" t="inlineStr">
        <is>
          <t>PV of terminal value</t>
        </is>
      </c>
      <c r="B23" s="4">
        <f>B22/(1+WACC)^(5-Inputs!$B$16-0.5)</f>
        <v/>
      </c>
      <c r="C23" s="4" t="n">
        <v>28313.79494258443</v>
      </c>
    </row>
    <row r="24">
      <c r="A24" t="inlineStr">
        <is>
          <t>Enterprise value</t>
        </is>
      </c>
      <c r="B24" s="4">
        <f>B20+B23</f>
        <v/>
      </c>
      <c r="C24" s="4" t="n">
        <v>39616.48298897423</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32619.48298897423</v>
      </c>
    </row>
    <row r="27">
      <c r="A27" t="inlineStr">
        <is>
          <t>Equity value at valuation date</t>
        </is>
      </c>
      <c r="B27" s="4">
        <f>(B26-Inputs!$B$20)*(1+B17)^Inputs!$B$17+Inputs!$B$20-Inputs!$B$18-Inputs!$B$19</f>
        <v/>
      </c>
      <c r="C27" s="4" t="n">
        <v>31759.43622156893</v>
      </c>
    </row>
    <row r="28">
      <c r="A28" t="inlineStr">
        <is>
          <t>Value per share (GBP)</t>
        </is>
      </c>
      <c r="B28" s="4">
        <f>B27/Inputs!$B$30</f>
        <v/>
      </c>
      <c r="C28" s="4" t="n">
        <v>18.21324738497407</v>
      </c>
    </row>
    <row r="29">
      <c r="A29" t="inlineStr">
        <is>
          <t>Value per share (pence)</t>
        </is>
      </c>
      <c r="B29" s="4">
        <f>B28/Inputs!$B$31*100</f>
        <v/>
      </c>
      <c r="C29" s="4" t="n">
        <v>1821.324738497407</v>
      </c>
    </row>
    <row r="30">
      <c r="A30" t="inlineStr">
        <is>
          <t>Upside vs share price</t>
        </is>
      </c>
      <c r="B30" s="6">
        <f>B29/Inputs!$B$32-1</f>
        <v/>
      </c>
      <c r="C30" s="6" t="n">
        <v>-0.3427193293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2026-10-15T08:14:49Z</dcterms:created>
  <dcterms:modified xmlns:dcterms="http://purl.org/dc/terms/" xmlns:xsi="http://www.w3.org/2001/XMLSchema-instance" xsi:type="dcterms:W3CDTF">2026-10-15T08:14:49Z</dcterms:modified>
</cp:coreProperties>
</file>