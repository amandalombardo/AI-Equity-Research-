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amanda/Downloads/"/>
    </mc:Choice>
  </mc:AlternateContent>
  <xr:revisionPtr revIDLastSave="0" documentId="8_{AF422A00-65E4-F84B-B377-34039FF2D9B0}" xr6:coauthVersionLast="47" xr6:coauthVersionMax="47" xr10:uidLastSave="{00000000-0000-0000-0000-000000000000}"/>
  <bookViews>
    <workbookView xWindow="-2180" yWindow="1200" windowWidth="29400" windowHeight="16600" activeTab="1" xr2:uid="{00000000-000D-0000-FFFF-FFFF00000000}"/>
  </bookViews>
  <sheets>
    <sheet name="Inputs" sheetId="2" r:id="rId1"/>
    <sheet name="Sales &amp; EBIT" sheetId="3" r:id="rId2"/>
    <sheet name="Free cash flow" sheetId="4" r:id="rId3"/>
    <sheet name="WACC" sheetId="5" r:id="rId4"/>
    <sheet name="Valuation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6" i="6" l="1"/>
  <c r="B45" i="6"/>
  <c r="B44" i="6"/>
  <c r="B43" i="6"/>
  <c r="B41" i="6"/>
  <c r="B8" i="6"/>
  <c r="B13" i="6" s="1"/>
  <c r="B12" i="5"/>
  <c r="B13" i="5" s="1"/>
  <c r="B6" i="5"/>
  <c r="B5" i="5"/>
  <c r="G7" i="3"/>
  <c r="G8" i="3" s="1"/>
  <c r="G5" i="3"/>
  <c r="F7" i="3"/>
  <c r="F8" i="3" s="1"/>
  <c r="F5" i="3"/>
  <c r="E7" i="3"/>
  <c r="E8" i="3" s="1"/>
  <c r="E5" i="3"/>
  <c r="D7" i="3"/>
  <c r="D8" i="3" s="1"/>
  <c r="D5" i="3"/>
  <c r="C7" i="3"/>
  <c r="C8" i="3" s="1"/>
  <c r="B6" i="3"/>
  <c r="C5" i="3"/>
  <c r="B9" i="5" l="1"/>
  <c r="B7" i="5"/>
  <c r="C6" i="3"/>
  <c r="C10" i="4" s="1"/>
  <c r="B10" i="5" l="1"/>
  <c r="B8" i="5"/>
  <c r="C8" i="4"/>
  <c r="C9" i="4"/>
  <c r="C9" i="3"/>
  <c r="D6" i="3"/>
  <c r="B11" i="5" l="1"/>
  <c r="D9" i="4"/>
  <c r="D10" i="4"/>
  <c r="E6" i="3"/>
  <c r="D8" i="4"/>
  <c r="C10" i="3"/>
  <c r="C5" i="4"/>
  <c r="D9" i="3"/>
  <c r="D5" i="4" s="1"/>
  <c r="B14" i="5" l="1"/>
  <c r="E9" i="4"/>
  <c r="E10" i="4"/>
  <c r="E9" i="3"/>
  <c r="E10" i="3" s="1"/>
  <c r="E8" i="4"/>
  <c r="F6" i="3"/>
  <c r="D6" i="4"/>
  <c r="D7" i="4" s="1"/>
  <c r="D11" i="4" s="1"/>
  <c r="D18" i="6" s="1"/>
  <c r="C6" i="4"/>
  <c r="C7" i="4" s="1"/>
  <c r="C11" i="4" s="1"/>
  <c r="D10" i="3"/>
  <c r="C18" i="6" l="1"/>
  <c r="B7" i="6"/>
  <c r="F9" i="3"/>
  <c r="F10" i="3" s="1"/>
  <c r="F10" i="4"/>
  <c r="G6" i="3"/>
  <c r="G10" i="4" s="1"/>
  <c r="F8" i="4"/>
  <c r="F9" i="4"/>
  <c r="E5" i="4"/>
  <c r="E6" i="4" s="1"/>
  <c r="E7" i="4" s="1"/>
  <c r="E11" i="4" s="1"/>
  <c r="E18" i="6" s="1"/>
  <c r="F20" i="6" l="1"/>
  <c r="G20" i="6"/>
  <c r="D20" i="6"/>
  <c r="D21" i="6" s="1"/>
  <c r="E20" i="6"/>
  <c r="E21" i="6" s="1"/>
  <c r="C20" i="6"/>
  <c r="G9" i="3"/>
  <c r="G5" i="4" s="1"/>
  <c r="G6" i="4" s="1"/>
  <c r="G7" i="4" s="1"/>
  <c r="B11" i="6" s="1"/>
  <c r="F5" i="4"/>
  <c r="G8" i="4"/>
  <c r="G9" i="4"/>
  <c r="C21" i="6" l="1"/>
  <c r="G10" i="3"/>
  <c r="B12" i="6"/>
  <c r="G11" i="4"/>
  <c r="G18" i="6" s="1"/>
  <c r="G21" i="6" s="1"/>
  <c r="F6" i="4"/>
  <c r="F7" i="4" s="1"/>
  <c r="F11" i="4" s="1"/>
  <c r="E64" i="6" l="1"/>
  <c r="F64" i="6"/>
  <c r="C64" i="6"/>
  <c r="D64" i="6"/>
  <c r="E63" i="6"/>
  <c r="F63" i="6"/>
  <c r="C63" i="6"/>
  <c r="D63" i="6"/>
  <c r="F62" i="6"/>
  <c r="D62" i="6"/>
  <c r="E62" i="6"/>
  <c r="F61" i="6"/>
  <c r="C62" i="6"/>
  <c r="D61" i="6"/>
  <c r="E61" i="6"/>
  <c r="F60" i="6"/>
  <c r="C61" i="6"/>
  <c r="E60" i="6"/>
  <c r="D60" i="6"/>
  <c r="F18" i="6"/>
  <c r="F21" i="6" s="1"/>
  <c r="B22" i="6" s="1"/>
  <c r="C60" i="6"/>
  <c r="B14" i="6"/>
  <c r="B15" i="6" l="1"/>
  <c r="B23" i="6" l="1"/>
  <c r="B24" i="6" l="1"/>
  <c r="B40" i="6" s="1"/>
  <c r="B42" i="6" l="1"/>
  <c r="B47" i="6" s="1"/>
  <c r="B48" i="6" s="1"/>
  <c r="B51" i="6" s="1"/>
  <c r="B52" i="6" s="1"/>
  <c r="B25" i="6"/>
  <c r="B53" i="6" l="1"/>
  <c r="B59" i="6"/>
</calcChain>
</file>

<file path=xl/sharedStrings.xml><?xml version="1.0" encoding="utf-8"?>
<sst xmlns="http://schemas.openxmlformats.org/spreadsheetml/2006/main" count="197" uniqueCount="156">
  <si>
    <t>Inputs (given, with sources)</t>
  </si>
  <si>
    <t>Input</t>
  </si>
  <si>
    <t>Value</t>
  </si>
  <si>
    <t>Unit</t>
  </si>
  <si>
    <t>Source</t>
  </si>
  <si>
    <t>Base-year (FY26) net sales, excluding businesses being sold (EABL)</t>
  </si>
  <si>
    <t>USD m</t>
  </si>
  <si>
    <t>Diageo Form 20-F FY26 (SEC accession 0001628280-26-057529, filed 18 Aug 2026): net sales 19,643 less EABL FY26 net revenue KES 145.96bn / 128.32 KES per USD (Yahoo KES=X FY26 average) = 1,137.5. EABL figure from press reports of EABL's FY26 results, 6 Aug 2026</t>
  </si>
  <si>
    <t>Base operating margin before exceptionals (ex-EABL)</t>
  </si>
  <si>
    <t>%</t>
  </si>
  <si>
    <t>Diageo Form 20-F FY26 (SEC accession 0001628280-26-057529, filed 18 Aug 2026): operating profit before exceptionals 5,683 less EABL EBIT KES 32.1bn / 128.32 = 250.2, divided by ex-EABL net sales</t>
  </si>
  <si>
    <t>Savings flow-through (share of savings kept as profit)</t>
  </si>
  <si>
    <t>PM decision 12 Oct 2026 (briefs/DGE.yaml): calibrated so FY27-29 profit growth hits the low end of 'mid-single-digit' guidance (Diageo Capital Markets Day, 6-K of 6 Aug 2026 (SEC accession 0001654954-26-007324))</t>
  </si>
  <si>
    <t>Tax rate</t>
  </si>
  <si>
    <t>Diageo Form 20-F FY26 (SEC accession 0001628280-26-057529, filed 18 Aug 2026) p.22: tax rate before exceptional items, FY26</t>
  </si>
  <si>
    <t>Depreciation &amp; amortisation (D&amp;A), % of sales</t>
  </si>
  <si>
    <t>FY22-FY26 D&amp;A (excl. impairment) / net sales, 5 years summed; 20-F XBRL</t>
  </si>
  <si>
    <t>Capital expenditure (capex), % of sales</t>
  </si>
  <si>
    <t>FY22-FY26 purchase of PP&amp;E and software / net sales, 5 years summed; 20-F cash flow statements</t>
  </si>
  <si>
    <t>Net working capital (NWC), % of sales</t>
  </si>
  <si>
    <t>Diageo Form 20-F FY26 (SEC accession 0001628280-26-057529, filed 18 Aug 2026) balance sheet: (inventories incl. maturing 10,529 + receivables 3,277 - payables 6,425) / net sales 19,643</t>
  </si>
  <si>
    <t>Year-by-year inputs</t>
  </si>
  <si>
    <t>FY27</t>
  </si>
  <si>
    <t>FY28</t>
  </si>
  <si>
    <t>FY29</t>
  </si>
  <si>
    <t>FY30</t>
  </si>
  <si>
    <t>FY31</t>
  </si>
  <si>
    <t>Organic sales growth</t>
  </si>
  <si>
    <t>FY27 0%, FY28 1.5%, FY29 2.5%: low end of guidance (Diageo Capital Markets Day, 6-K of 6 Aug 2026 (SEC accession 0001654954-26-007324): FY27 'broadly flat', FY27-29 'low-single-digit, accelerating'). FY30-31 2.0%: PM decision 15 Oct 2026</t>
  </si>
  <si>
    <t>Cost savings achieved so far (cumulative run-rate)</t>
  </si>
  <si>
    <t>Diageo Capital Markets Day, 6-K of 6 Aug 2026 (SEC accession 0001654954-26-007324): c.$1bn = $850m operating framework (c.40% in FY27) + $150m supply chain (c.25% in FY27); FY28 supply-chain phasing of 75% is the desk's assumption</t>
  </si>
  <si>
    <t>Discount rate (WACC) inputs</t>
  </si>
  <si>
    <t>Risk-free rate (US 10-year Treasury yield)</t>
  </si>
  <si>
    <t>FRED series DGS10, 8 Oct 2026</t>
  </si>
  <si>
    <t>Equity risk premium (ERP)</t>
  </si>
  <si>
    <t>PM decision 15 Oct 2026: Damodaran implied ERP for the S&amp;P 500, 4.20% at 1 Oct 2026 (evidence: audit-2026-10-15/erp-evidence.md)</t>
  </si>
  <si>
    <t>Unlevered beta (global alcoholic beverages, corrected for cash)</t>
  </si>
  <si>
    <t>x</t>
  </si>
  <si>
    <t>Damodaran betaGlobal.xls (updated 5 Jan 2026), 'Alcoholic Beverage', 217 firms: unlevered beta corrected for cash</t>
  </si>
  <si>
    <t>Credit spread over the risk-free rate</t>
  </si>
  <si>
    <t>PM rule 12 Oct 2026; FRED ICE BofA A (0.69%) and BBB (1.02%) US corporate spreads, 8 Oct 2026. 20-F: leverage 'broadly consistent with an A-band credit rating'</t>
  </si>
  <si>
    <t>Net debt incl. leases, 30 June 2026</t>
  </si>
  <si>
    <t>Diageo Form 20-F FY26 (SEC accession 0001628280-26-057529, filed 18 Aug 2026) note 17 p.187: net borrowings 20,482 (includes lease liabilities 685)</t>
  </si>
  <si>
    <t>Ordinary shares, diluted</t>
  </si>
  <si>
    <t>m</t>
  </si>
  <si>
    <t>Diageo Form 20-F FY26 (SEC accession 0001628280-26-057529, filed 18 Aug 2026): 2,432m issued - 208m own shares (note 18(c)) + 7m dilutive shares (EPS note). Ordinary shares, NOT ADRs (1 ADR = 4 shares)</t>
  </si>
  <si>
    <t>Share price, 12 Oct 2026 close</t>
  </si>
  <si>
    <t>pence (GBp)</t>
  </si>
  <si>
    <t>Yahoo Finance DGE.L close, 12 Oct 2026</t>
  </si>
  <si>
    <t>Exchange rate, USD per GBP</t>
  </si>
  <si>
    <t>USD per GBP</t>
  </si>
  <si>
    <t>FRED series DEXUSUK, 2 Oct 2026</t>
  </si>
  <si>
    <t>Terminal value inputs</t>
  </si>
  <si>
    <t>Terminal growth (forever, after FY31)</t>
  </si>
  <si>
    <t>PM decision 12 Oct 2026 (briefs/DGE.yaml): below nominal GDP; US 10-year breakeven inflation 2.35% (FRED T10YIE, 8 Oct 2026)</t>
  </si>
  <si>
    <t>Return on new invested capital after FY31 (RONIC)</t>
  </si>
  <si>
    <t>PM decision 13 Oct 2026: Diageo's FY26 ROIC, Diageo Form 20-F FY26 (SEC accession 0001628280-26-057529, filed 18 Aug 2026) KPI table (lowest in 4 years)</t>
  </si>
  <si>
    <t>Equity bridge inputs</t>
  </si>
  <si>
    <t>Minorities' share of enterprise value</t>
  </si>
  <si>
    <t>Diageo Form 20-F FY26 (SEC accession 0001628280-26-057529, filed 18 Aug 2026) p.210: profit before exceptionals attributable to non-controlling interests 227, less 35% x EABL EBIT 250.2, divided by ex-EABL operating profit 5,432.8</t>
  </si>
  <si>
    <t>Associates (mainly 34% of Moet Hennessy)</t>
  </si>
  <si>
    <t>Diageo Form 20-F FY26 (SEC accession 0001628280-26-057529, filed 18 Aug 2026) note 'Investments in associates': Moet Hennessy 5,107 + others 177</t>
  </si>
  <si>
    <t>Disposal proceeds not yet received</t>
  </si>
  <si>
    <t>EABL sale to Asahi c.$2.3bn (Diageo Form 20-F FY26 (SEC accession 0001628280-26-057529, filed 18 Aug 2026) p.85) + 57.21% of USL's RCB sale, c.$1.78bn (press, 24 Mar 2026). Gross, before tax</t>
  </si>
  <si>
    <t>Restructuring cash still to pay</t>
  </si>
  <si>
    <t>Diageo Capital Markets Day, 6-K of 6 Aug 2026 (SEC accession 0001654954-26-007324): c.$800m + c.$50m exceptional cash costs in FY27</t>
  </si>
  <si>
    <t>Pension deficit</t>
  </si>
  <si>
    <t>Diageo Form 20-F FY26 (SEC accession 0001628280-26-057529, filed 18 Aug 2026): net pension SURPLUS of 627, so 0 under the brief's rule</t>
  </si>
  <si>
    <t>Years from 30 June 2026 to the 12 Oct 2026 price date</t>
  </si>
  <si>
    <t>years</t>
  </si>
  <si>
    <t>103 days / 365</t>
  </si>
  <si>
    <t>Dividends gone ex between 30 June and 12 Oct 2026</t>
  </si>
  <si>
    <t>Diageo Form 20-F FY26 (SEC accession 0001628280-26-057529, filed 18 Aug 2026): final dividend goes ex on 15 Oct 2026, after the price date, so 0</t>
  </si>
  <si>
    <t>Rating rule</t>
  </si>
  <si>
    <t>BUY if upside is above</t>
  </si>
  <si>
    <t>PM rating policy (brief)</t>
  </si>
  <si>
    <t>SELL if upside is below</t>
  </si>
  <si>
    <t>FY26 base</t>
  </si>
  <si>
    <t>Net sales</t>
  </si>
  <si>
    <t>Cost savings run-rate (cumulative)</t>
  </si>
  <si>
    <t>Savings kept as profit</t>
  </si>
  <si>
    <t>EBIT (operating profit)</t>
  </si>
  <si>
    <t>EBIT margin</t>
  </si>
  <si>
    <t>EBIT</t>
  </si>
  <si>
    <t>Tax on EBIT</t>
  </si>
  <si>
    <t>NOPAT (net operating profit after tax)</t>
  </si>
  <si>
    <t>Add back: D&amp;A</t>
  </si>
  <si>
    <t>Less: capex</t>
  </si>
  <si>
    <t>Less: increase in net working capital</t>
  </si>
  <si>
    <t>Unlevered free cash flow (UFCF)</t>
  </si>
  <si>
    <t>Step 3: WACC</t>
  </si>
  <si>
    <t>Your answer</t>
  </si>
  <si>
    <t>Market value of equity (market cap), USD m</t>
  </si>
  <si>
    <t>Net debt, USD m</t>
  </si>
  <si>
    <t>Debt weight D / (D + E)</t>
  </si>
  <si>
    <t>Equity weight E / (D + E)</t>
  </si>
  <si>
    <t>Debt-to-equity ratio D / E</t>
  </si>
  <si>
    <t>Levered (equity) beta</t>
  </si>
  <si>
    <t>Cost of equity (CAPM)</t>
  </si>
  <si>
    <t>Pre-tax cost of debt</t>
  </si>
  <si>
    <t>After-tax cost of debt</t>
  </si>
  <si>
    <t>WACC</t>
  </si>
  <si>
    <t>The dials</t>
  </si>
  <si>
    <t>WACC shift (leave at 0; the Data Table uses it)</t>
  </si>
  <si>
    <t>Terminal growth shift (leave at 0; the Data Table uses it)</t>
  </si>
  <si>
    <t>WACC used</t>
  </si>
  <si>
    <t>Terminal growth used</t>
  </si>
  <si>
    <t>Step 4: Terminal value (value of everything after FY31)</t>
  </si>
  <si>
    <t>FY31 NOPAT</t>
  </si>
  <si>
    <t>Terminal-year (FY32) NOPAT</t>
  </si>
  <si>
    <t>Reinvestment rate</t>
  </si>
  <si>
    <t>Terminal-year free cash flow</t>
  </si>
  <si>
    <t>Terminal value (Gordon growth)</t>
  </si>
  <si>
    <t>Step 5: Discounting to 30 June 2026 (mid-year convention)</t>
  </si>
  <si>
    <t>Unlevered free cash flow</t>
  </si>
  <si>
    <t>Discount period (years from 30 June 2026)</t>
  </si>
  <si>
    <t>Discount factor</t>
  </si>
  <si>
    <t>Present value of FCF</t>
  </si>
  <si>
    <t>Sum of present values of FCF</t>
  </si>
  <si>
    <t>Present value of terminal value</t>
  </si>
  <si>
    <t>Enterprise value (EV)</t>
  </si>
  <si>
    <t>Terminal value share of EV</t>
  </si>
  <si>
    <t>Step 6: Equity bridge (enterprise value to equity value)</t>
  </si>
  <si>
    <t>Enterprise value</t>
  </si>
  <si>
    <t>Less: net debt (incl. leases)</t>
  </si>
  <si>
    <t>Less: minority interests</t>
  </si>
  <si>
    <t>Less: restructuring cash still to pay</t>
  </si>
  <si>
    <t>Less: pension deficit</t>
  </si>
  <si>
    <t>Plus: associates</t>
  </si>
  <si>
    <t>Plus: disposal proceeds to come</t>
  </si>
  <si>
    <t>Equity value at 30 June 2026</t>
  </si>
  <si>
    <t>Equity value at 12 Oct 2026 (price date)</t>
  </si>
  <si>
    <t>Step 7: Value per share and rating</t>
  </si>
  <si>
    <t>Value per share (USD)</t>
  </si>
  <si>
    <t>Value per share (pence, GBp)</t>
  </si>
  <si>
    <t>Upside vs share price</t>
  </si>
  <si>
    <t>Rating</t>
  </si>
  <si>
    <t>WACC = 6.90%</t>
  </si>
  <si>
    <t>WACC = 7.40%</t>
  </si>
  <si>
    <t>WACC = 7.90%</t>
  </si>
  <si>
    <t>WACC = 8.40%</t>
  </si>
  <si>
    <t>WACC = 8.90%</t>
  </si>
  <si>
    <t>Labels (actual rates):</t>
  </si>
  <si>
    <t>g = 1.5%</t>
  </si>
  <si>
    <t>g = 2.0%</t>
  </si>
  <si>
    <t>g = 2.5%</t>
  </si>
  <si>
    <t>g = 3.0%</t>
  </si>
  <si>
    <t>1.5</t>
  </si>
  <si>
    <t>2.5</t>
  </si>
  <si>
    <t>3.5</t>
  </si>
  <si>
    <t>4.5</t>
  </si>
  <si>
    <t>=IF(B53&gt;Inputs!B37,"BUY",IF(B53&lt;Inputs!B38,"SELL","HOLD"))</t>
  </si>
  <si>
    <t xml:space="preserve">Terminal growth shift (across) / WACC shift </t>
  </si>
  <si>
    <t>Discount rate (WACC)</t>
  </si>
  <si>
    <t xml:space="preserve">Unlevered free cash flow </t>
  </si>
  <si>
    <t>Sales and EBIT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</si>
</sst>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0.000%"/>
    <numFmt numFmtId="166" formatCode="0.0%"/>
    <numFmt numFmtId="167" formatCode="0.0000"/>
    <numFmt numFmtId="168" formatCode="0.0"/>
    <numFmt numFmtId="169" formatCode="\+0.0%;\-0.0%;0.0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sz val="11"/>
      <color rgb="FF1F4E9E"/>
      <name val="Calibri"/>
    </font>
    <font>
      <i/>
      <sz val="11"/>
      <color rgb="FF595959"/>
      <name val="Calibri"/>
    </font>
    <font>
      <b/>
      <sz val="1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/>
    <xf numFmtId="0" fontId="1" fillId="4" borderId="0" xfId="0" applyFont="1" applyFill="1"/>
    <xf numFmtId="164" fontId="3" fillId="2" borderId="1" xfId="0" applyNumberFormat="1" applyFont="1" applyFill="1" applyBorder="1"/>
    <xf numFmtId="165" fontId="3" fillId="2" borderId="1" xfId="0" applyNumberFormat="1" applyFont="1" applyFill="1" applyBorder="1"/>
    <xf numFmtId="166" fontId="3" fillId="2" borderId="1" xfId="0" applyNumberFormat="1" applyFont="1" applyFill="1" applyBorder="1"/>
    <xf numFmtId="10" fontId="3" fillId="2" borderId="1" xfId="0" applyNumberFormat="1" applyFont="1" applyFill="1" applyBorder="1"/>
    <xf numFmtId="167" fontId="3" fillId="2" borderId="1" xfId="0" applyNumberFormat="1" applyFont="1" applyFill="1" applyBorder="1"/>
    <xf numFmtId="3" fontId="3" fillId="2" borderId="1" xfId="0" applyNumberFormat="1" applyFont="1" applyFill="1" applyBorder="1"/>
    <xf numFmtId="166" fontId="0" fillId="3" borderId="1" xfId="0" applyNumberFormat="1" applyFill="1" applyBorder="1"/>
    <xf numFmtId="164" fontId="0" fillId="3" borderId="1" xfId="0" applyNumberFormat="1" applyFill="1" applyBorder="1"/>
    <xf numFmtId="3" fontId="0" fillId="3" borderId="1" xfId="0" applyNumberFormat="1" applyFill="1" applyBorder="1"/>
    <xf numFmtId="10" fontId="0" fillId="3" borderId="1" xfId="0" applyNumberFormat="1" applyFill="1" applyBorder="1"/>
    <xf numFmtId="167" fontId="0" fillId="3" borderId="1" xfId="0" applyNumberFormat="1" applyFill="1" applyBorder="1"/>
    <xf numFmtId="0" fontId="0" fillId="0" borderId="0" xfId="0" applyAlignment="1">
      <alignment horizontal="right"/>
    </xf>
    <xf numFmtId="4" fontId="0" fillId="3" borderId="1" xfId="0" applyNumberFormat="1" applyFill="1" applyBorder="1"/>
    <xf numFmtId="49" fontId="0" fillId="3" borderId="1" xfId="0" applyNumberFormat="1" applyFill="1" applyBorder="1"/>
    <xf numFmtId="169" fontId="3" fillId="2" borderId="1" xfId="0" applyNumberFormat="1" applyFont="1" applyFill="1" applyBorder="1"/>
    <xf numFmtId="0" fontId="4" fillId="0" borderId="0" xfId="0" applyFont="1"/>
    <xf numFmtId="0" fontId="0" fillId="0" borderId="0" xfId="0" applyAlignment="1">
      <alignment vertical="top" wrapText="1"/>
    </xf>
    <xf numFmtId="0" fontId="0" fillId="0" borderId="0" xfId="0"/>
    <xf numFmtId="0" fontId="0" fillId="0" borderId="0" xfId="0" applyFill="1"/>
    <xf numFmtId="0" fontId="1" fillId="0" borderId="0" xfId="0" applyFont="1" applyFill="1"/>
    <xf numFmtId="0" fontId="0" fillId="0" borderId="0" xfId="0" applyFill="1" applyAlignment="1">
      <alignment vertical="top" wrapText="1"/>
    </xf>
    <xf numFmtId="164" fontId="0" fillId="3" borderId="2" xfId="0" applyNumberFormat="1" applyFill="1" applyBorder="1"/>
    <xf numFmtId="167" fontId="0" fillId="3" borderId="2" xfId="0" applyNumberFormat="1" applyFill="1" applyBorder="1"/>
    <xf numFmtId="0" fontId="0" fillId="0" borderId="0" xfId="0" applyFill="1" applyBorder="1"/>
    <xf numFmtId="0" fontId="1" fillId="0" borderId="0" xfId="0" applyFont="1" applyFill="1" applyBorder="1"/>
    <xf numFmtId="0" fontId="0" fillId="0" borderId="0" xfId="0" applyFill="1" applyBorder="1" applyAlignment="1">
      <alignment vertical="top" wrapText="1"/>
    </xf>
    <xf numFmtId="164" fontId="4" fillId="0" borderId="1" xfId="0" applyNumberFormat="1" applyFont="1" applyFill="1" applyBorder="1"/>
    <xf numFmtId="168" fontId="4" fillId="0" borderId="1" xfId="0" applyNumberFormat="1" applyFont="1" applyFill="1" applyBorder="1"/>
    <xf numFmtId="167" fontId="4" fillId="0" borderId="1" xfId="0" applyNumberFormat="1" applyFont="1" applyFill="1" applyBorder="1"/>
    <xf numFmtId="4" fontId="4" fillId="0" borderId="1" xfId="0" applyNumberFormat="1" applyFont="1" applyFill="1" applyBorder="1"/>
    <xf numFmtId="166" fontId="4" fillId="0" borderId="1" xfId="0" applyNumberFormat="1" applyFont="1" applyFill="1" applyBorder="1"/>
    <xf numFmtId="49" fontId="4" fillId="0" borderId="1" xfId="0" applyNumberFormat="1" applyFont="1" applyFill="1" applyBorder="1"/>
    <xf numFmtId="10" fontId="4" fillId="0" borderId="1" xfId="0" applyNumberFormat="1" applyFont="1" applyFill="1" applyBorder="1"/>
    <xf numFmtId="2" fontId="0" fillId="3" borderId="1" xfId="0" applyNumberFormat="1" applyFill="1" applyBorder="1"/>
    <xf numFmtId="2" fontId="0" fillId="3" borderId="2" xfId="0" applyNumberFormat="1" applyFill="1" applyBorder="1"/>
    <xf numFmtId="3" fontId="4" fillId="0" borderId="1" xfId="0" applyNumberFormat="1" applyFont="1" applyFill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8"/>
  <sheetViews>
    <sheetView workbookViewId="0">
      <pane xSplit="1" ySplit="4" topLeftCell="B5" activePane="bottomRight" state="frozen"/>
      <selection pane="topRight"/>
      <selection pane="bottomLeft"/>
      <selection pane="bottomRight" activeCell="A2" sqref="A2:I2"/>
    </sheetView>
  </sheetViews>
  <sheetFormatPr baseColWidth="10" defaultColWidth="8.83203125" defaultRowHeight="15" x14ac:dyDescent="0.2"/>
  <cols>
    <col min="1" max="1" width="52" customWidth="1"/>
    <col min="2" max="6" width="13" customWidth="1"/>
    <col min="7" max="7" width="12" customWidth="1"/>
    <col min="8" max="8" width="110" customWidth="1"/>
  </cols>
  <sheetData>
    <row r="1" spans="1:9" ht="19" x14ac:dyDescent="0.25">
      <c r="A1" s="41" t="s">
        <v>0</v>
      </c>
    </row>
    <row r="2" spans="1:9" ht="48" customHeight="1" x14ac:dyDescent="0.2">
      <c r="A2" s="21"/>
      <c r="B2" s="22"/>
      <c r="C2" s="22"/>
      <c r="D2" s="22"/>
      <c r="E2" s="22"/>
      <c r="F2" s="22"/>
      <c r="G2" s="22"/>
      <c r="H2" s="22"/>
      <c r="I2" s="22"/>
    </row>
    <row r="4" spans="1:9" x14ac:dyDescent="0.2">
      <c r="A4" s="4" t="s">
        <v>1</v>
      </c>
      <c r="B4" s="4" t="s">
        <v>2</v>
      </c>
      <c r="G4" s="4" t="s">
        <v>3</v>
      </c>
      <c r="H4" s="4" t="s">
        <v>4</v>
      </c>
    </row>
    <row r="5" spans="1:9" x14ac:dyDescent="0.2">
      <c r="A5" t="s">
        <v>5</v>
      </c>
      <c r="B5" s="5">
        <v>18505.5</v>
      </c>
      <c r="G5" t="s">
        <v>6</v>
      </c>
      <c r="H5" t="s">
        <v>7</v>
      </c>
    </row>
    <row r="6" spans="1:9" x14ac:dyDescent="0.2">
      <c r="A6" t="s">
        <v>8</v>
      </c>
      <c r="B6" s="6">
        <v>0.29358000000000001</v>
      </c>
      <c r="G6" t="s">
        <v>9</v>
      </c>
      <c r="H6" t="s">
        <v>10</v>
      </c>
    </row>
    <row r="7" spans="1:9" x14ac:dyDescent="0.2">
      <c r="A7" t="s">
        <v>11</v>
      </c>
      <c r="B7" s="7">
        <v>0.46</v>
      </c>
      <c r="G7" t="s">
        <v>9</v>
      </c>
      <c r="H7" t="s">
        <v>12</v>
      </c>
    </row>
    <row r="8" spans="1:9" x14ac:dyDescent="0.2">
      <c r="A8" t="s">
        <v>13</v>
      </c>
      <c r="B8" s="7">
        <v>0.24299999999999999</v>
      </c>
      <c r="G8" t="s">
        <v>9</v>
      </c>
      <c r="H8" t="s">
        <v>14</v>
      </c>
    </row>
    <row r="9" spans="1:9" x14ac:dyDescent="0.2">
      <c r="A9" t="s">
        <v>15</v>
      </c>
      <c r="B9" s="8">
        <v>3.3770000000000001E-2</v>
      </c>
      <c r="G9" t="s">
        <v>9</v>
      </c>
      <c r="H9" t="s">
        <v>16</v>
      </c>
    </row>
    <row r="10" spans="1:9" x14ac:dyDescent="0.2">
      <c r="A10" t="s">
        <v>17</v>
      </c>
      <c r="B10" s="8">
        <v>7.1059999999999998E-2</v>
      </c>
      <c r="G10" t="s">
        <v>9</v>
      </c>
      <c r="H10" t="s">
        <v>18</v>
      </c>
    </row>
    <row r="11" spans="1:9" x14ac:dyDescent="0.2">
      <c r="A11" t="s">
        <v>19</v>
      </c>
      <c r="B11" s="8">
        <v>0.37575999999999998</v>
      </c>
      <c r="G11" t="s">
        <v>9</v>
      </c>
      <c r="H11" t="s">
        <v>20</v>
      </c>
    </row>
    <row r="13" spans="1:9" x14ac:dyDescent="0.2">
      <c r="A13" s="4" t="s">
        <v>21</v>
      </c>
      <c r="B13" s="4" t="s">
        <v>22</v>
      </c>
      <c r="C13" s="4" t="s">
        <v>23</v>
      </c>
      <c r="D13" s="4" t="s">
        <v>24</v>
      </c>
      <c r="E13" s="4" t="s">
        <v>25</v>
      </c>
      <c r="F13" s="4" t="s">
        <v>26</v>
      </c>
    </row>
    <row r="14" spans="1:9" x14ac:dyDescent="0.2">
      <c r="A14" t="s">
        <v>27</v>
      </c>
      <c r="B14" s="7">
        <v>0</v>
      </c>
      <c r="C14" s="7">
        <v>1.4999999999999999E-2</v>
      </c>
      <c r="D14" s="7">
        <v>2.5000000000000001E-2</v>
      </c>
      <c r="E14" s="7">
        <v>0.02</v>
      </c>
      <c r="F14" s="7">
        <v>0.02</v>
      </c>
      <c r="G14" t="s">
        <v>9</v>
      </c>
      <c r="H14" t="s">
        <v>28</v>
      </c>
    </row>
    <row r="15" spans="1:9" x14ac:dyDescent="0.2">
      <c r="A15" t="s">
        <v>29</v>
      </c>
      <c r="B15" s="5">
        <v>377.5</v>
      </c>
      <c r="C15" s="5">
        <v>962.5</v>
      </c>
      <c r="D15" s="5">
        <v>1000</v>
      </c>
      <c r="E15" s="5">
        <v>1000</v>
      </c>
      <c r="F15" s="5">
        <v>1000</v>
      </c>
      <c r="G15" t="s">
        <v>6</v>
      </c>
      <c r="H15" t="s">
        <v>30</v>
      </c>
    </row>
    <row r="16" spans="1:9" x14ac:dyDescent="0.2">
      <c r="A16" s="4" t="s">
        <v>31</v>
      </c>
    </row>
    <row r="17" spans="1:8" x14ac:dyDescent="0.2">
      <c r="A17" t="s">
        <v>32</v>
      </c>
      <c r="B17" s="8">
        <v>5.2200000000000003E-2</v>
      </c>
      <c r="G17" t="s">
        <v>9</v>
      </c>
      <c r="H17" t="s">
        <v>33</v>
      </c>
    </row>
    <row r="18" spans="1:8" x14ac:dyDescent="0.2">
      <c r="A18" t="s">
        <v>34</v>
      </c>
      <c r="B18" s="8">
        <v>4.2000000000000003E-2</v>
      </c>
      <c r="G18" t="s">
        <v>9</v>
      </c>
      <c r="H18" t="s">
        <v>35</v>
      </c>
    </row>
    <row r="19" spans="1:8" x14ac:dyDescent="0.2">
      <c r="A19" t="s">
        <v>36</v>
      </c>
      <c r="B19" s="9">
        <v>0.72499999999999998</v>
      </c>
      <c r="G19" t="s">
        <v>37</v>
      </c>
      <c r="H19" t="s">
        <v>38</v>
      </c>
    </row>
    <row r="20" spans="1:8" x14ac:dyDescent="0.2">
      <c r="A20" t="s">
        <v>39</v>
      </c>
      <c r="B20" s="8">
        <v>0.01</v>
      </c>
      <c r="G20" t="s">
        <v>9</v>
      </c>
      <c r="H20" t="s">
        <v>40</v>
      </c>
    </row>
    <row r="21" spans="1:8" x14ac:dyDescent="0.2">
      <c r="A21" t="s">
        <v>41</v>
      </c>
      <c r="B21" s="10">
        <v>20482</v>
      </c>
      <c r="G21" t="s">
        <v>6</v>
      </c>
      <c r="H21" t="s">
        <v>42</v>
      </c>
    </row>
    <row r="22" spans="1:8" x14ac:dyDescent="0.2">
      <c r="A22" t="s">
        <v>43</v>
      </c>
      <c r="B22" s="10">
        <v>2231</v>
      </c>
      <c r="G22" t="s">
        <v>44</v>
      </c>
      <c r="H22" t="s">
        <v>45</v>
      </c>
    </row>
    <row r="23" spans="1:8" x14ac:dyDescent="0.2">
      <c r="A23" t="s">
        <v>46</v>
      </c>
      <c r="B23" s="5">
        <v>1673</v>
      </c>
      <c r="G23" t="s">
        <v>47</v>
      </c>
      <c r="H23" t="s">
        <v>48</v>
      </c>
    </row>
    <row r="24" spans="1:8" x14ac:dyDescent="0.2">
      <c r="A24" t="s">
        <v>49</v>
      </c>
      <c r="B24" s="9">
        <v>1.3233999999999999</v>
      </c>
      <c r="G24" t="s">
        <v>50</v>
      </c>
      <c r="H24" t="s">
        <v>51</v>
      </c>
    </row>
    <row r="25" spans="1:8" x14ac:dyDescent="0.2">
      <c r="A25" s="4" t="s">
        <v>52</v>
      </c>
    </row>
    <row r="26" spans="1:8" x14ac:dyDescent="0.2">
      <c r="A26" t="s">
        <v>53</v>
      </c>
      <c r="B26" s="7">
        <v>0.02</v>
      </c>
      <c r="G26" t="s">
        <v>9</v>
      </c>
      <c r="H26" t="s">
        <v>54</v>
      </c>
    </row>
    <row r="27" spans="1:8" x14ac:dyDescent="0.2">
      <c r="A27" t="s">
        <v>55</v>
      </c>
      <c r="B27" s="7">
        <v>0.13400000000000001</v>
      </c>
      <c r="G27" t="s">
        <v>9</v>
      </c>
      <c r="H27" t="s">
        <v>56</v>
      </c>
    </row>
    <row r="28" spans="1:8" x14ac:dyDescent="0.2">
      <c r="A28" s="4" t="s">
        <v>57</v>
      </c>
    </row>
    <row r="29" spans="1:8" x14ac:dyDescent="0.2">
      <c r="A29" t="s">
        <v>58</v>
      </c>
      <c r="B29" s="6">
        <v>2.5659999999999999E-2</v>
      </c>
      <c r="G29" t="s">
        <v>9</v>
      </c>
      <c r="H29" t="s">
        <v>59</v>
      </c>
    </row>
    <row r="30" spans="1:8" x14ac:dyDescent="0.2">
      <c r="A30" t="s">
        <v>60</v>
      </c>
      <c r="B30" s="10">
        <v>5284</v>
      </c>
      <c r="G30" t="s">
        <v>6</v>
      </c>
      <c r="H30" t="s">
        <v>61</v>
      </c>
    </row>
    <row r="31" spans="1:8" x14ac:dyDescent="0.2">
      <c r="A31" t="s">
        <v>62</v>
      </c>
      <c r="B31" s="5">
        <v>3318.3</v>
      </c>
      <c r="G31" t="s">
        <v>6</v>
      </c>
      <c r="H31" t="s">
        <v>63</v>
      </c>
    </row>
    <row r="32" spans="1:8" x14ac:dyDescent="0.2">
      <c r="A32" t="s">
        <v>64</v>
      </c>
      <c r="B32" s="10">
        <v>850</v>
      </c>
      <c r="G32" t="s">
        <v>6</v>
      </c>
      <c r="H32" t="s">
        <v>65</v>
      </c>
    </row>
    <row r="33" spans="1:8" x14ac:dyDescent="0.2">
      <c r="A33" t="s">
        <v>66</v>
      </c>
      <c r="B33" s="10">
        <v>0</v>
      </c>
      <c r="G33" t="s">
        <v>6</v>
      </c>
      <c r="H33" t="s">
        <v>67</v>
      </c>
    </row>
    <row r="34" spans="1:8" x14ac:dyDescent="0.2">
      <c r="A34" t="s">
        <v>68</v>
      </c>
      <c r="B34" s="9">
        <v>0.28220000000000001</v>
      </c>
      <c r="G34" t="s">
        <v>69</v>
      </c>
      <c r="H34" t="s">
        <v>70</v>
      </c>
    </row>
    <row r="35" spans="1:8" x14ac:dyDescent="0.2">
      <c r="A35" t="s">
        <v>71</v>
      </c>
      <c r="B35" s="10">
        <v>0</v>
      </c>
      <c r="G35" t="s">
        <v>6</v>
      </c>
      <c r="H35" t="s">
        <v>72</v>
      </c>
    </row>
    <row r="36" spans="1:8" x14ac:dyDescent="0.2">
      <c r="A36" s="4" t="s">
        <v>73</v>
      </c>
    </row>
    <row r="37" spans="1:8" x14ac:dyDescent="0.2">
      <c r="A37" t="s">
        <v>74</v>
      </c>
      <c r="B37" s="7">
        <v>0.15</v>
      </c>
      <c r="G37" t="s">
        <v>9</v>
      </c>
      <c r="H37" t="s">
        <v>75</v>
      </c>
    </row>
    <row r="38" spans="1:8" x14ac:dyDescent="0.2">
      <c r="A38" t="s">
        <v>76</v>
      </c>
      <c r="B38" s="7">
        <v>-0.1</v>
      </c>
      <c r="G38" t="s">
        <v>9</v>
      </c>
      <c r="H38" t="s">
        <v>75</v>
      </c>
    </row>
  </sheetData>
  <mergeCells count="1"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8"/>
  <sheetViews>
    <sheetView tabSelected="1" workbookViewId="0">
      <pane xSplit="1" ySplit="4" topLeftCell="B5" activePane="bottomRight" state="frozen"/>
      <selection pane="topRight"/>
      <selection pane="bottomLeft"/>
      <selection pane="bottomRight" activeCell="D24" sqref="D24"/>
    </sheetView>
  </sheetViews>
  <sheetFormatPr baseColWidth="10" defaultColWidth="8.83203125" defaultRowHeight="15" x14ac:dyDescent="0.2"/>
  <cols>
    <col min="1" max="1" width="40" customWidth="1"/>
    <col min="2" max="7" width="12" customWidth="1"/>
    <col min="8" max="8" width="20" customWidth="1"/>
    <col min="9" max="9" width="90" customWidth="1"/>
  </cols>
  <sheetData>
    <row r="1" spans="1:9" ht="19" x14ac:dyDescent="0.25">
      <c r="A1" s="41" t="s">
        <v>155</v>
      </c>
    </row>
    <row r="2" spans="1:9" x14ac:dyDescent="0.2">
      <c r="A2" s="21"/>
      <c r="B2" s="22"/>
      <c r="C2" s="22"/>
      <c r="D2" s="22"/>
      <c r="E2" s="22"/>
      <c r="F2" s="22"/>
      <c r="G2" s="22"/>
      <c r="H2" s="22"/>
      <c r="I2" s="22"/>
    </row>
    <row r="4" spans="1:9" x14ac:dyDescent="0.2">
      <c r="A4" s="4"/>
      <c r="B4" s="4" t="s">
        <v>77</v>
      </c>
      <c r="C4" s="4" t="s">
        <v>22</v>
      </c>
      <c r="D4" s="4" t="s">
        <v>23</v>
      </c>
      <c r="E4" s="4" t="s">
        <v>24</v>
      </c>
      <c r="F4" s="4" t="s">
        <v>25</v>
      </c>
      <c r="G4" s="4" t="s">
        <v>26</v>
      </c>
      <c r="H4" s="24"/>
      <c r="I4" s="24"/>
    </row>
    <row r="5" spans="1:9" ht="30" customHeight="1" x14ac:dyDescent="0.2">
      <c r="A5" t="s">
        <v>27</v>
      </c>
      <c r="C5" s="11">
        <f>Inputs!B14</f>
        <v>0</v>
      </c>
      <c r="D5" s="11">
        <f>Inputs!C14</f>
        <v>1.4999999999999999E-2</v>
      </c>
      <c r="E5" s="11">
        <f>Inputs!D14</f>
        <v>2.5000000000000001E-2</v>
      </c>
      <c r="F5" s="11">
        <f>Inputs!E14</f>
        <v>0.02</v>
      </c>
      <c r="G5" s="11">
        <f>Inputs!F14</f>
        <v>0.02</v>
      </c>
      <c r="H5" s="24"/>
      <c r="I5" s="25"/>
    </row>
    <row r="6" spans="1:9" ht="30" customHeight="1" x14ac:dyDescent="0.2">
      <c r="A6" t="s">
        <v>78</v>
      </c>
      <c r="B6" s="12">
        <f>Inputs!B5</f>
        <v>18505.5</v>
      </c>
      <c r="C6" s="12">
        <f>B6*(1+C5)</f>
        <v>18505.5</v>
      </c>
      <c r="D6" s="12">
        <f>C6*(1+D5)</f>
        <v>18783.082499999997</v>
      </c>
      <c r="E6" s="12">
        <f>D6*(1+E5)</f>
        <v>19252.659562499994</v>
      </c>
      <c r="F6" s="12">
        <f>E6*(1+F5)</f>
        <v>19637.712753749995</v>
      </c>
      <c r="G6" s="12">
        <f>F6*(1+G5)</f>
        <v>20030.467008824995</v>
      </c>
      <c r="H6" s="24"/>
      <c r="I6" s="25"/>
    </row>
    <row r="7" spans="1:9" ht="30" customHeight="1" x14ac:dyDescent="0.2">
      <c r="A7" t="s">
        <v>79</v>
      </c>
      <c r="C7" s="12">
        <f>Inputs!B15</f>
        <v>377.5</v>
      </c>
      <c r="D7" s="12">
        <f>Inputs!C15</f>
        <v>962.5</v>
      </c>
      <c r="E7" s="12">
        <f>Inputs!D15</f>
        <v>1000</v>
      </c>
      <c r="F7" s="12">
        <f>Inputs!E15</f>
        <v>1000</v>
      </c>
      <c r="G7" s="12">
        <f>Inputs!F15</f>
        <v>1000</v>
      </c>
      <c r="H7" s="24"/>
      <c r="I7" s="25"/>
    </row>
    <row r="8" spans="1:9" ht="30" customHeight="1" x14ac:dyDescent="0.2">
      <c r="A8" t="s">
        <v>80</v>
      </c>
      <c r="C8" s="12">
        <f>C7*Inputs!$B$7</f>
        <v>173.65</v>
      </c>
      <c r="D8" s="12">
        <f>D7*Inputs!$B$7</f>
        <v>442.75</v>
      </c>
      <c r="E8" s="12">
        <f>E7*Inputs!$B$7</f>
        <v>460</v>
      </c>
      <c r="F8" s="12">
        <f>F7*Inputs!$B$7</f>
        <v>460</v>
      </c>
      <c r="G8" s="12">
        <f>G7*Inputs!$B$7</f>
        <v>460</v>
      </c>
      <c r="H8" s="24"/>
      <c r="I8" s="25"/>
    </row>
    <row r="9" spans="1:9" ht="30" customHeight="1" x14ac:dyDescent="0.2">
      <c r="A9" t="s">
        <v>81</v>
      </c>
      <c r="C9" s="12">
        <f>C6*Inputs!$B$6+C8</f>
        <v>5606.4946899999995</v>
      </c>
      <c r="D9" s="12">
        <f>D6*Inputs!$B$6+D8</f>
        <v>5957.0873603499995</v>
      </c>
      <c r="E9" s="12">
        <f>E6*Inputs!$B$6+E8</f>
        <v>6112.1957943587486</v>
      </c>
      <c r="F9" s="12">
        <f>F6*Inputs!$B$6+F8</f>
        <v>6225.2397102459236</v>
      </c>
      <c r="G9" s="12">
        <f>G6*Inputs!$B$6+G8</f>
        <v>6340.5445044508424</v>
      </c>
      <c r="H9" s="24"/>
      <c r="I9" s="25"/>
    </row>
    <row r="10" spans="1:9" ht="30" customHeight="1" x14ac:dyDescent="0.2">
      <c r="A10" t="s">
        <v>82</v>
      </c>
      <c r="C10" s="11">
        <f>C9/C6</f>
        <v>0.30296369673880735</v>
      </c>
      <c r="D10" s="11">
        <f>D9/D6</f>
        <v>0.31715174334936774</v>
      </c>
      <c r="E10" s="11">
        <f>E9/E6</f>
        <v>0.31747280288817764</v>
      </c>
      <c r="F10" s="11">
        <f>F9/F6</f>
        <v>0.31700431655703687</v>
      </c>
      <c r="G10" s="11">
        <f>G9/G6</f>
        <v>0.31654501623238912</v>
      </c>
      <c r="H10" s="24"/>
      <c r="I10" s="25"/>
    </row>
    <row r="12" spans="1:9" x14ac:dyDescent="0.2">
      <c r="A12" s="24"/>
      <c r="B12" s="23"/>
      <c r="C12" s="23"/>
      <c r="D12" s="23"/>
      <c r="E12" s="23"/>
      <c r="F12" s="23"/>
      <c r="G12" s="23"/>
    </row>
    <row r="13" spans="1:9" x14ac:dyDescent="0.2">
      <c r="A13" s="23"/>
      <c r="B13" s="23"/>
      <c r="C13" s="35"/>
      <c r="D13" s="35"/>
      <c r="E13" s="35"/>
      <c r="F13" s="35"/>
      <c r="G13" s="35"/>
    </row>
    <row r="14" spans="1:9" x14ac:dyDescent="0.2">
      <c r="A14" s="23"/>
      <c r="B14" s="31"/>
      <c r="C14" s="31"/>
      <c r="D14" s="31"/>
      <c r="E14" s="31"/>
      <c r="F14" s="31"/>
      <c r="G14" s="31"/>
    </row>
    <row r="15" spans="1:9" x14ac:dyDescent="0.2">
      <c r="A15" s="23"/>
      <c r="B15" s="23"/>
      <c r="C15" s="31"/>
      <c r="D15" s="31"/>
      <c r="E15" s="31"/>
      <c r="F15" s="31"/>
      <c r="G15" s="31"/>
    </row>
    <row r="16" spans="1:9" x14ac:dyDescent="0.2">
      <c r="A16" s="23"/>
      <c r="B16" s="23"/>
      <c r="C16" s="31"/>
      <c r="D16" s="31"/>
      <c r="E16" s="31"/>
      <c r="F16" s="31"/>
      <c r="G16" s="31"/>
    </row>
    <row r="17" spans="1:7" x14ac:dyDescent="0.2">
      <c r="A17" s="23"/>
      <c r="B17" s="23"/>
      <c r="C17" s="31"/>
      <c r="D17" s="31"/>
      <c r="E17" s="31"/>
      <c r="F17" s="31"/>
      <c r="G17" s="31"/>
    </row>
    <row r="18" spans="1:7" x14ac:dyDescent="0.2">
      <c r="A18" s="23"/>
      <c r="B18" s="23"/>
      <c r="C18" s="35"/>
      <c r="D18" s="35"/>
      <c r="E18" s="35"/>
      <c r="F18" s="35"/>
      <c r="G18" s="35"/>
    </row>
  </sheetData>
  <mergeCells count="1"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"/>
  <sheetViews>
    <sheetView workbookViewId="0">
      <pane xSplit="1" ySplit="4" topLeftCell="B5" activePane="bottomRight" state="frozen"/>
      <selection pane="topRight"/>
      <selection pane="bottomLeft"/>
      <selection pane="bottomRight" activeCell="C5" sqref="C5:D11"/>
    </sheetView>
  </sheetViews>
  <sheetFormatPr baseColWidth="10" defaultColWidth="8.83203125" defaultRowHeight="15" x14ac:dyDescent="0.2"/>
  <cols>
    <col min="1" max="1" width="40" customWidth="1"/>
    <col min="2" max="7" width="12" customWidth="1"/>
    <col min="8" max="8" width="20" customWidth="1"/>
    <col min="9" max="9" width="90" customWidth="1"/>
  </cols>
  <sheetData>
    <row r="1" spans="1:9" ht="19" x14ac:dyDescent="0.25">
      <c r="A1" s="41" t="s">
        <v>154</v>
      </c>
    </row>
    <row r="2" spans="1:9" x14ac:dyDescent="0.2">
      <c r="A2" s="21"/>
      <c r="B2" s="22"/>
      <c r="C2" s="22"/>
      <c r="D2" s="22"/>
      <c r="E2" s="22"/>
      <c r="F2" s="22"/>
      <c r="G2" s="22"/>
      <c r="H2" s="22"/>
      <c r="I2" s="22"/>
    </row>
    <row r="4" spans="1:9" x14ac:dyDescent="0.2">
      <c r="A4" s="4"/>
      <c r="B4" s="4"/>
      <c r="C4" s="4" t="s">
        <v>22</v>
      </c>
      <c r="D4" s="4" t="s">
        <v>23</v>
      </c>
      <c r="E4" s="4" t="s">
        <v>24</v>
      </c>
      <c r="F4" s="4" t="s">
        <v>25</v>
      </c>
      <c r="G4" s="4" t="s">
        <v>26</v>
      </c>
      <c r="H4" s="24"/>
      <c r="I4" s="24"/>
    </row>
    <row r="5" spans="1:9" ht="30" customHeight="1" x14ac:dyDescent="0.2">
      <c r="A5" t="s">
        <v>83</v>
      </c>
      <c r="C5" s="12">
        <f>'Sales &amp; EBIT'!C9</f>
        <v>5606.4946899999995</v>
      </c>
      <c r="D5" s="12">
        <f>'Sales &amp; EBIT'!D9</f>
        <v>5957.0873603499995</v>
      </c>
      <c r="E5" s="12">
        <f>'Sales &amp; EBIT'!E9</f>
        <v>6112.1957943587486</v>
      </c>
      <c r="F5" s="12">
        <f>'Sales &amp; EBIT'!F9</f>
        <v>6225.2397102459236</v>
      </c>
      <c r="G5" s="12">
        <f>'Sales &amp; EBIT'!G9</f>
        <v>6340.5445044508424</v>
      </c>
      <c r="H5" s="24"/>
      <c r="I5" s="25"/>
    </row>
    <row r="6" spans="1:9" ht="30" customHeight="1" x14ac:dyDescent="0.2">
      <c r="A6" t="s">
        <v>84</v>
      </c>
      <c r="C6" s="12">
        <f>C5*Inputs!$B$8</f>
        <v>1362.3782096699999</v>
      </c>
      <c r="D6" s="12">
        <f>D5*Inputs!$B$8</f>
        <v>1447.5722285650497</v>
      </c>
      <c r="E6" s="12">
        <f>E5*Inputs!$B$8</f>
        <v>1485.263578029176</v>
      </c>
      <c r="F6" s="12">
        <f>F5*Inputs!$B$8</f>
        <v>1512.7332495897595</v>
      </c>
      <c r="G6" s="12">
        <f>G5*Inputs!$B$8</f>
        <v>1540.7523145815546</v>
      </c>
      <c r="H6" s="24"/>
      <c r="I6" s="25"/>
    </row>
    <row r="7" spans="1:9" ht="30" customHeight="1" x14ac:dyDescent="0.2">
      <c r="A7" t="s">
        <v>85</v>
      </c>
      <c r="C7" s="12">
        <f>C5-C6</f>
        <v>4244.1164803299998</v>
      </c>
      <c r="D7" s="12">
        <f>D5-D6</f>
        <v>4509.5151317849495</v>
      </c>
      <c r="E7" s="12">
        <f>E5-E6</f>
        <v>4626.9322163295728</v>
      </c>
      <c r="F7" s="12">
        <f>F5-F6</f>
        <v>4712.5064606561646</v>
      </c>
      <c r="G7" s="12">
        <f>G5-G6</f>
        <v>4799.7921898692875</v>
      </c>
      <c r="H7" s="24"/>
      <c r="I7" s="25"/>
    </row>
    <row r="8" spans="1:9" ht="30" customHeight="1" x14ac:dyDescent="0.2">
      <c r="A8" t="s">
        <v>86</v>
      </c>
      <c r="C8" s="12">
        <f>'Sales &amp; EBIT'!C6*Inputs!$B$9</f>
        <v>624.93073500000003</v>
      </c>
      <c r="D8" s="12">
        <f>'Sales &amp; EBIT'!D6*Inputs!$B$9</f>
        <v>634.30469602499988</v>
      </c>
      <c r="E8" s="12">
        <f>'Sales &amp; EBIT'!E6*Inputs!$B$9</f>
        <v>650.1623134256248</v>
      </c>
      <c r="F8" s="12">
        <f>'Sales &amp; EBIT'!F6*Inputs!$B$9</f>
        <v>663.1655596941373</v>
      </c>
      <c r="G8" s="12">
        <f>'Sales &amp; EBIT'!G6*Inputs!$B$9</f>
        <v>676.42887088802013</v>
      </c>
      <c r="H8" s="24"/>
      <c r="I8" s="25"/>
    </row>
    <row r="9" spans="1:9" ht="30" customHeight="1" x14ac:dyDescent="0.2">
      <c r="A9" t="s">
        <v>87</v>
      </c>
      <c r="C9" s="12">
        <f>'Sales &amp; EBIT'!C6*Inputs!$B$10</f>
        <v>1315.00083</v>
      </c>
      <c r="D9" s="12">
        <f>'Sales &amp; EBIT'!D6*Inputs!$B$10</f>
        <v>1334.7258424499998</v>
      </c>
      <c r="E9" s="12">
        <f>'Sales &amp; EBIT'!E6*Inputs!$B$10</f>
        <v>1368.0939885112496</v>
      </c>
      <c r="F9" s="12">
        <f>'Sales &amp; EBIT'!F6*Inputs!$B$10</f>
        <v>1395.4558682814745</v>
      </c>
      <c r="G9" s="12">
        <f>'Sales &amp; EBIT'!G6*Inputs!$B$10</f>
        <v>1423.364985647104</v>
      </c>
      <c r="H9" s="24"/>
      <c r="I9" s="25"/>
    </row>
    <row r="10" spans="1:9" ht="45" customHeight="1" x14ac:dyDescent="0.2">
      <c r="A10" t="s">
        <v>88</v>
      </c>
      <c r="C10" s="12">
        <f>('Sales &amp; EBIT'!C6-'Sales &amp; EBIT'!B6)*Inputs!$B$11</f>
        <v>0</v>
      </c>
      <c r="D10" s="12">
        <f>('Sales &amp; EBIT'!D6-'Sales &amp; EBIT'!C6)*Inputs!$B$11</f>
        <v>104.3044001999988</v>
      </c>
      <c r="E10" s="12">
        <f>('Sales &amp; EBIT'!E6-'Sales &amp; EBIT'!D6)*Inputs!$B$11</f>
        <v>176.4482770049988</v>
      </c>
      <c r="F10" s="12">
        <f>('Sales &amp; EBIT'!F6-'Sales &amp; EBIT'!E6)*Inputs!$B$11</f>
        <v>144.68758714410035</v>
      </c>
      <c r="G10" s="12">
        <f>('Sales &amp; EBIT'!G6-'Sales &amp; EBIT'!F6)*Inputs!$B$11</f>
        <v>147.58133888698214</v>
      </c>
      <c r="H10" s="24"/>
      <c r="I10" s="25"/>
    </row>
    <row r="11" spans="1:9" ht="30" customHeight="1" x14ac:dyDescent="0.2">
      <c r="A11" t="s">
        <v>89</v>
      </c>
      <c r="C11" s="12">
        <f>C7+C8-C9-C10</f>
        <v>3554.0463853299998</v>
      </c>
      <c r="D11" s="12">
        <f>D7+D8-D9-D10</f>
        <v>3704.7895851599515</v>
      </c>
      <c r="E11" s="12">
        <f>E7+E8-E9-E10</f>
        <v>3732.5522642389496</v>
      </c>
      <c r="F11" s="12">
        <f>F7+F8-F9-F10</f>
        <v>3835.5285649247271</v>
      </c>
      <c r="G11" s="12">
        <f>G7+G8-G9-G10</f>
        <v>3905.2747362232221</v>
      </c>
      <c r="H11" s="24"/>
      <c r="I11" s="25"/>
    </row>
    <row r="13" spans="1:9" x14ac:dyDescent="0.2">
      <c r="A13" s="24"/>
      <c r="B13" s="23"/>
      <c r="C13" s="23"/>
      <c r="D13" s="23"/>
      <c r="E13" s="23"/>
      <c r="F13" s="23"/>
      <c r="G13" s="23"/>
    </row>
    <row r="14" spans="1:9" x14ac:dyDescent="0.2">
      <c r="A14" s="23"/>
      <c r="B14" s="23"/>
      <c r="C14" s="31"/>
      <c r="D14" s="31"/>
      <c r="E14" s="31"/>
      <c r="F14" s="31"/>
      <c r="G14" s="31"/>
    </row>
    <row r="15" spans="1:9" x14ac:dyDescent="0.2">
      <c r="A15" s="23"/>
      <c r="B15" s="23"/>
      <c r="C15" s="31"/>
      <c r="D15" s="31"/>
      <c r="E15" s="31"/>
      <c r="F15" s="31"/>
      <c r="G15" s="31"/>
    </row>
    <row r="16" spans="1:9" x14ac:dyDescent="0.2">
      <c r="A16" s="23"/>
      <c r="B16" s="23"/>
      <c r="C16" s="31"/>
      <c r="D16" s="31"/>
      <c r="E16" s="31"/>
      <c r="F16" s="31"/>
      <c r="G16" s="31"/>
    </row>
    <row r="17" spans="1:7" x14ac:dyDescent="0.2">
      <c r="A17" s="23"/>
      <c r="B17" s="23"/>
      <c r="C17" s="31"/>
      <c r="D17" s="31"/>
      <c r="E17" s="31"/>
      <c r="F17" s="31"/>
      <c r="G17" s="31"/>
    </row>
    <row r="18" spans="1:7" x14ac:dyDescent="0.2">
      <c r="A18" s="23"/>
      <c r="B18" s="23"/>
      <c r="C18" s="31"/>
      <c r="D18" s="31"/>
      <c r="E18" s="31"/>
      <c r="F18" s="31"/>
      <c r="G18" s="31"/>
    </row>
    <row r="19" spans="1:7" x14ac:dyDescent="0.2">
      <c r="A19" s="23"/>
      <c r="B19" s="23"/>
      <c r="C19" s="31"/>
      <c r="D19" s="31"/>
      <c r="E19" s="31"/>
      <c r="F19" s="31"/>
      <c r="G19" s="31"/>
    </row>
    <row r="20" spans="1:7" x14ac:dyDescent="0.2">
      <c r="A20" s="23"/>
      <c r="B20" s="23"/>
      <c r="C20" s="31"/>
      <c r="D20" s="31"/>
      <c r="E20" s="31"/>
      <c r="F20" s="31"/>
      <c r="G20" s="31"/>
    </row>
  </sheetData>
  <mergeCells count="1"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4"/>
  <sheetViews>
    <sheetView workbookViewId="0">
      <selection activeCell="C8" sqref="C8"/>
    </sheetView>
  </sheetViews>
  <sheetFormatPr baseColWidth="10" defaultColWidth="8.83203125" defaultRowHeight="15" x14ac:dyDescent="0.2"/>
  <cols>
    <col min="1" max="1" width="46" customWidth="1"/>
    <col min="2" max="3" width="14" customWidth="1"/>
    <col min="4" max="4" width="20" customWidth="1"/>
    <col min="5" max="5" width="95" customWidth="1"/>
  </cols>
  <sheetData>
    <row r="1" spans="1:9" ht="19" x14ac:dyDescent="0.25">
      <c r="A1" s="41" t="s">
        <v>153</v>
      </c>
    </row>
    <row r="2" spans="1:9" x14ac:dyDescent="0.2">
      <c r="A2" s="21"/>
      <c r="B2" s="22"/>
      <c r="C2" s="22"/>
      <c r="D2" s="22"/>
      <c r="E2" s="22"/>
      <c r="F2" s="22"/>
      <c r="G2" s="22"/>
      <c r="H2" s="22"/>
      <c r="I2" s="22"/>
    </row>
    <row r="4" spans="1:9" x14ac:dyDescent="0.2">
      <c r="A4" s="4" t="s">
        <v>90</v>
      </c>
      <c r="B4" s="4" t="s">
        <v>91</v>
      </c>
      <c r="C4" s="24"/>
      <c r="D4" s="24"/>
      <c r="E4" s="24"/>
    </row>
    <row r="5" spans="1:9" ht="45" customHeight="1" x14ac:dyDescent="0.2">
      <c r="A5" t="s">
        <v>92</v>
      </c>
      <c r="B5" s="13">
        <f>Inputs!B22*(Inputs!B23/100)*Inputs!B24</f>
        <v>49395.415341999993</v>
      </c>
      <c r="C5" s="40"/>
      <c r="D5" s="24"/>
      <c r="E5" s="25"/>
    </row>
    <row r="6" spans="1:9" ht="30" customHeight="1" x14ac:dyDescent="0.2">
      <c r="A6" t="s">
        <v>93</v>
      </c>
      <c r="B6" s="13">
        <f>Inputs!B21</f>
        <v>20482</v>
      </c>
      <c r="C6" s="40"/>
      <c r="D6" s="24"/>
      <c r="E6" s="25"/>
    </row>
    <row r="7" spans="1:9" ht="30" customHeight="1" x14ac:dyDescent="0.2">
      <c r="A7" t="s">
        <v>94</v>
      </c>
      <c r="B7" s="14">
        <f>B6/(B5+B6)</f>
        <v>0.29311330277107778</v>
      </c>
      <c r="C7" s="37"/>
      <c r="D7" s="24"/>
      <c r="E7" s="25"/>
    </row>
    <row r="8" spans="1:9" ht="30" customHeight="1" x14ac:dyDescent="0.2">
      <c r="A8" t="s">
        <v>95</v>
      </c>
      <c r="B8" s="14">
        <f>1-B7</f>
        <v>0.70688669722892228</v>
      </c>
      <c r="C8" s="37"/>
      <c r="D8" s="24"/>
      <c r="E8" s="25"/>
    </row>
    <row r="9" spans="1:9" ht="30" customHeight="1" x14ac:dyDescent="0.2">
      <c r="A9" t="s">
        <v>96</v>
      </c>
      <c r="B9" s="15">
        <f>B6/B5</f>
        <v>0.41465386733137843</v>
      </c>
      <c r="C9" s="33"/>
      <c r="D9" s="24"/>
      <c r="E9" s="25"/>
    </row>
    <row r="10" spans="1:9" ht="45" customHeight="1" x14ac:dyDescent="0.2">
      <c r="A10" t="s">
        <v>97</v>
      </c>
      <c r="B10" s="15">
        <f>Inputs!B19*(1+(1-Inputs!B8)*B9)</f>
        <v>0.95257240873814386</v>
      </c>
      <c r="C10" s="33"/>
      <c r="D10" s="24"/>
      <c r="E10" s="25"/>
    </row>
    <row r="11" spans="1:9" ht="30" customHeight="1" x14ac:dyDescent="0.2">
      <c r="A11" t="s">
        <v>98</v>
      </c>
      <c r="B11" s="14">
        <f>Inputs!B17+B10*Inputs!B18</f>
        <v>9.2208041167002042E-2</v>
      </c>
      <c r="C11" s="37"/>
      <c r="D11" s="24"/>
      <c r="E11" s="25"/>
    </row>
    <row r="12" spans="1:9" ht="30" customHeight="1" x14ac:dyDescent="0.2">
      <c r="A12" t="s">
        <v>99</v>
      </c>
      <c r="B12" s="14">
        <f>Inputs!B17+Inputs!B20</f>
        <v>6.2200000000000005E-2</v>
      </c>
      <c r="C12" s="37"/>
      <c r="D12" s="24"/>
      <c r="E12" s="25"/>
    </row>
    <row r="13" spans="1:9" ht="30" customHeight="1" x14ac:dyDescent="0.2">
      <c r="A13" t="s">
        <v>100</v>
      </c>
      <c r="B13" s="14">
        <f>B12*(1-Inputs!B8)</f>
        <v>4.7085400000000006E-2</v>
      </c>
      <c r="C13" s="37"/>
      <c r="D13" s="24"/>
      <c r="E13" s="25"/>
    </row>
    <row r="14" spans="1:9" ht="30" customHeight="1" x14ac:dyDescent="0.2">
      <c r="A14" t="s">
        <v>101</v>
      </c>
      <c r="B14" s="14">
        <f>B8*B11+B7*B13</f>
        <v>7.8981994784787873E-2</v>
      </c>
      <c r="C14" s="37"/>
      <c r="D14" s="24"/>
      <c r="E14" s="25"/>
    </row>
  </sheetData>
  <mergeCells count="1"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66"/>
  <sheetViews>
    <sheetView topLeftCell="A43" workbookViewId="0">
      <selection activeCell="E10" sqref="E10"/>
    </sheetView>
  </sheetViews>
  <sheetFormatPr baseColWidth="10" defaultColWidth="8.83203125" defaultRowHeight="15" x14ac:dyDescent="0.2"/>
  <cols>
    <col min="1" max="1" width="50" customWidth="1"/>
    <col min="2" max="7" width="14" customWidth="1"/>
    <col min="8" max="8" width="20" customWidth="1"/>
    <col min="9" max="9" width="90" customWidth="1"/>
  </cols>
  <sheetData>
    <row r="1" spans="1:9" ht="19" x14ac:dyDescent="0.25">
      <c r="A1" s="3"/>
    </row>
    <row r="2" spans="1:9" x14ac:dyDescent="0.2">
      <c r="A2" s="21"/>
      <c r="B2" s="22"/>
      <c r="C2" s="22"/>
      <c r="D2" s="22"/>
      <c r="E2" s="22"/>
      <c r="F2" s="22"/>
      <c r="G2" s="22"/>
      <c r="H2" s="22"/>
      <c r="I2" s="22"/>
    </row>
    <row r="4" spans="1:9" x14ac:dyDescent="0.2">
      <c r="A4" s="4" t="s">
        <v>102</v>
      </c>
    </row>
    <row r="5" spans="1:9" x14ac:dyDescent="0.2">
      <c r="A5" t="s">
        <v>103</v>
      </c>
      <c r="B5" s="8">
        <v>0</v>
      </c>
    </row>
    <row r="6" spans="1:9" x14ac:dyDescent="0.2">
      <c r="A6" t="s">
        <v>104</v>
      </c>
      <c r="B6" s="8">
        <v>0</v>
      </c>
      <c r="C6" s="16"/>
    </row>
    <row r="7" spans="1:9" x14ac:dyDescent="0.2">
      <c r="A7" t="s">
        <v>105</v>
      </c>
      <c r="B7" s="14">
        <f>WACC!B14+B5</f>
        <v>7.8981994784787873E-2</v>
      </c>
      <c r="C7" s="37"/>
      <c r="D7" s="24"/>
      <c r="I7" s="2"/>
    </row>
    <row r="8" spans="1:9" x14ac:dyDescent="0.2">
      <c r="A8" t="s">
        <v>106</v>
      </c>
      <c r="B8" s="14">
        <f>Inputs!B26+B6</f>
        <v>0.02</v>
      </c>
      <c r="C8" s="37"/>
      <c r="D8" s="24"/>
      <c r="I8" s="2"/>
    </row>
    <row r="9" spans="1:9" x14ac:dyDescent="0.2">
      <c r="C9" s="23"/>
      <c r="D9" s="23"/>
    </row>
    <row r="10" spans="1:9" x14ac:dyDescent="0.2">
      <c r="A10" s="4" t="s">
        <v>107</v>
      </c>
      <c r="B10" s="4" t="s">
        <v>91</v>
      </c>
      <c r="C10" s="24"/>
      <c r="D10" s="24"/>
      <c r="I10" s="24"/>
    </row>
    <row r="11" spans="1:9" ht="30" customHeight="1" x14ac:dyDescent="0.2">
      <c r="A11" t="s">
        <v>108</v>
      </c>
      <c r="B11" s="12">
        <f>'Free cash flow'!G7</f>
        <v>4799.7921898692875</v>
      </c>
      <c r="C11" s="31"/>
      <c r="D11" s="24"/>
      <c r="I11" s="2"/>
    </row>
    <row r="12" spans="1:9" ht="30" customHeight="1" x14ac:dyDescent="0.2">
      <c r="A12" t="s">
        <v>109</v>
      </c>
      <c r="B12" s="12">
        <f>B11*(1+B8)</f>
        <v>4895.7880336666731</v>
      </c>
      <c r="C12" s="31"/>
      <c r="D12" s="24"/>
      <c r="I12" s="2"/>
    </row>
    <row r="13" spans="1:9" ht="45" customHeight="1" x14ac:dyDescent="0.2">
      <c r="A13" t="s">
        <v>110</v>
      </c>
      <c r="B13" s="14">
        <f>B8/Inputs!B27</f>
        <v>0.14925373134328357</v>
      </c>
      <c r="C13" s="37"/>
      <c r="D13" s="24"/>
      <c r="I13" s="2"/>
    </row>
    <row r="14" spans="1:9" ht="30" customHeight="1" x14ac:dyDescent="0.2">
      <c r="A14" t="s">
        <v>111</v>
      </c>
      <c r="B14" s="12">
        <f>B12*(1-B13)</f>
        <v>4165.0734017761251</v>
      </c>
      <c r="C14" s="31"/>
      <c r="D14" s="24"/>
      <c r="I14" s="2"/>
    </row>
    <row r="15" spans="1:9" ht="30" customHeight="1" x14ac:dyDescent="0.2">
      <c r="A15" t="s">
        <v>112</v>
      </c>
      <c r="B15" s="12">
        <f>B14/(B7-B8)</f>
        <v>70616.014547719999</v>
      </c>
      <c r="C15" s="31"/>
      <c r="D15" s="24"/>
      <c r="I15" s="2"/>
    </row>
    <row r="16" spans="1:9" x14ac:dyDescent="0.2">
      <c r="H16" s="28"/>
      <c r="I16" s="28"/>
    </row>
    <row r="17" spans="1:9" x14ac:dyDescent="0.2">
      <c r="A17" s="4" t="s">
        <v>113</v>
      </c>
      <c r="B17" s="4"/>
      <c r="C17" s="4" t="s">
        <v>22</v>
      </c>
      <c r="D17" s="4" t="s">
        <v>23</v>
      </c>
      <c r="E17" s="4" t="s">
        <v>24</v>
      </c>
      <c r="F17" s="4" t="s">
        <v>25</v>
      </c>
      <c r="G17" s="4" t="s">
        <v>26</v>
      </c>
      <c r="H17" s="29"/>
      <c r="I17" s="29"/>
    </row>
    <row r="18" spans="1:9" ht="30" customHeight="1" x14ac:dyDescent="0.2">
      <c r="A18" t="s">
        <v>114</v>
      </c>
      <c r="C18" s="12">
        <f>'Free cash flow'!C11</f>
        <v>3554.0463853299998</v>
      </c>
      <c r="D18" s="12">
        <f>'Free cash flow'!D11</f>
        <v>3704.7895851599515</v>
      </c>
      <c r="E18" s="12">
        <f>'Free cash flow'!E11</f>
        <v>3732.5522642389496</v>
      </c>
      <c r="F18" s="12">
        <f>'Free cash flow'!F11</f>
        <v>3835.5285649247271</v>
      </c>
      <c r="G18" s="26">
        <f>'Free cash flow'!G11</f>
        <v>3905.2747362232221</v>
      </c>
      <c r="H18" s="29"/>
      <c r="I18" s="30"/>
    </row>
    <row r="19" spans="1:9" ht="45" customHeight="1" x14ac:dyDescent="0.2">
      <c r="A19" t="s">
        <v>115</v>
      </c>
      <c r="C19" s="38">
        <v>0.5</v>
      </c>
      <c r="D19" s="38" t="s">
        <v>147</v>
      </c>
      <c r="E19" s="38" t="s">
        <v>148</v>
      </c>
      <c r="F19" s="38" t="s">
        <v>149</v>
      </c>
      <c r="G19" s="39" t="s">
        <v>150</v>
      </c>
      <c r="H19" s="29"/>
      <c r="I19" s="30"/>
    </row>
    <row r="20" spans="1:9" ht="30" customHeight="1" x14ac:dyDescent="0.2">
      <c r="A20" t="s">
        <v>116</v>
      </c>
      <c r="C20" s="15">
        <f>1/(1+$B$7)^C19</f>
        <v>0.96270427690345972</v>
      </c>
      <c r="D20" s="15">
        <f>1/(1+$B$7)^D19</f>
        <v>0.89223386632645274</v>
      </c>
      <c r="E20" s="15">
        <f>1/(1+$B$7)^E19</f>
        <v>0.82692192329346181</v>
      </c>
      <c r="F20" s="15">
        <f>1/(1+$B$7)^F19</f>
        <v>0.76639084552879722</v>
      </c>
      <c r="G20" s="27">
        <f>1/(1+$B$7)^G19</f>
        <v>0.71029067142279834</v>
      </c>
      <c r="H20" s="29"/>
      <c r="I20" s="30"/>
    </row>
    <row r="21" spans="1:9" ht="30" customHeight="1" x14ac:dyDescent="0.2">
      <c r="A21" t="s">
        <v>117</v>
      </c>
      <c r="C21" s="12">
        <f>C18*C20</f>
        <v>3421.4956554704722</v>
      </c>
      <c r="D21" s="12">
        <f>D18*D20</f>
        <v>3305.5387354932386</v>
      </c>
      <c r="E21" s="12">
        <f>E18*E20</f>
        <v>3086.5292971378381</v>
      </c>
      <c r="F21" s="12">
        <f>F18*F20</f>
        <v>2939.5139799225158</v>
      </c>
      <c r="G21" s="26">
        <f>G18*G20</f>
        <v>2773.880214482484</v>
      </c>
      <c r="H21" s="29"/>
      <c r="I21" s="30"/>
    </row>
    <row r="22" spans="1:9" ht="30" customHeight="1" x14ac:dyDescent="0.2">
      <c r="A22" t="s">
        <v>118</v>
      </c>
      <c r="B22" s="12">
        <f>SUM(C21:G21)</f>
        <v>15526.957882506549</v>
      </c>
      <c r="C22" s="31"/>
      <c r="D22" s="1"/>
      <c r="H22" s="23"/>
      <c r="I22" s="25"/>
    </row>
    <row r="23" spans="1:9" ht="45" customHeight="1" x14ac:dyDescent="0.2">
      <c r="A23" t="s">
        <v>119</v>
      </c>
      <c r="B23" s="12">
        <f>B15*G20</f>
        <v>50157.896386302134</v>
      </c>
      <c r="C23" s="31"/>
      <c r="D23" s="1"/>
      <c r="I23" s="2"/>
    </row>
    <row r="24" spans="1:9" ht="30" customHeight="1" x14ac:dyDescent="0.2">
      <c r="A24" t="s">
        <v>120</v>
      </c>
      <c r="B24" s="12">
        <f>B22+B23</f>
        <v>65684.854268808689</v>
      </c>
      <c r="C24" s="31"/>
      <c r="D24" s="1"/>
      <c r="I24" s="2"/>
    </row>
    <row r="25" spans="1:9" ht="30" customHeight="1" x14ac:dyDescent="0.2">
      <c r="A25" t="s">
        <v>121</v>
      </c>
      <c r="B25" s="11">
        <f>B23/B24</f>
        <v>0.76361433613045659</v>
      </c>
      <c r="C25" s="35"/>
      <c r="D25" s="1"/>
      <c r="I25" s="2"/>
    </row>
    <row r="33" spans="1:9" x14ac:dyDescent="0.2">
      <c r="A33" s="24"/>
      <c r="B33" s="23"/>
      <c r="C33" s="23"/>
      <c r="D33" s="23"/>
      <c r="E33" s="23"/>
      <c r="F33" s="23"/>
      <c r="G33" s="23"/>
    </row>
    <row r="34" spans="1:9" x14ac:dyDescent="0.2">
      <c r="A34" s="23"/>
      <c r="B34" s="23"/>
      <c r="C34" s="31"/>
      <c r="D34" s="31"/>
      <c r="E34" s="31"/>
      <c r="F34" s="31"/>
      <c r="G34" s="31"/>
    </row>
    <row r="35" spans="1:9" x14ac:dyDescent="0.2">
      <c r="A35" s="23"/>
      <c r="B35" s="23"/>
      <c r="C35" s="32"/>
      <c r="D35" s="32"/>
      <c r="E35" s="32"/>
      <c r="F35" s="32"/>
      <c r="G35" s="32"/>
    </row>
    <row r="36" spans="1:9" x14ac:dyDescent="0.2">
      <c r="A36" s="23"/>
      <c r="B36" s="23"/>
      <c r="C36" s="33"/>
      <c r="D36" s="33"/>
      <c r="E36" s="33"/>
      <c r="F36" s="33"/>
      <c r="G36" s="33"/>
    </row>
    <row r="37" spans="1:9" x14ac:dyDescent="0.2">
      <c r="A37" s="23"/>
      <c r="B37" s="23"/>
      <c r="C37" s="31"/>
      <c r="D37" s="31"/>
      <c r="E37" s="31"/>
      <c r="F37" s="31"/>
      <c r="G37" s="31"/>
    </row>
    <row r="39" spans="1:9" x14ac:dyDescent="0.2">
      <c r="A39" s="4" t="s">
        <v>122</v>
      </c>
      <c r="B39" s="4" t="s">
        <v>91</v>
      </c>
      <c r="C39" s="24"/>
      <c r="D39" s="24"/>
      <c r="I39" s="24"/>
    </row>
    <row r="40" spans="1:9" ht="30" customHeight="1" x14ac:dyDescent="0.2">
      <c r="A40" t="s">
        <v>123</v>
      </c>
      <c r="B40" s="12">
        <f>B24</f>
        <v>65684.854268808689</v>
      </c>
      <c r="C40" s="31"/>
      <c r="D40" s="24"/>
      <c r="I40" s="2"/>
    </row>
    <row r="41" spans="1:9" ht="30" customHeight="1" x14ac:dyDescent="0.2">
      <c r="A41" t="s">
        <v>124</v>
      </c>
      <c r="B41" s="12">
        <f>Inputs!B21</f>
        <v>20482</v>
      </c>
      <c r="C41" s="31"/>
      <c r="D41" s="24"/>
      <c r="I41" s="2"/>
    </row>
    <row r="42" spans="1:9" ht="45" customHeight="1" x14ac:dyDescent="0.2">
      <c r="A42" t="s">
        <v>125</v>
      </c>
      <c r="B42" s="12">
        <f>Inputs!B29*B40</f>
        <v>1685.4733605376309</v>
      </c>
      <c r="C42" s="31"/>
      <c r="D42" s="24"/>
      <c r="I42" s="2"/>
    </row>
    <row r="43" spans="1:9" ht="30" customHeight="1" x14ac:dyDescent="0.2">
      <c r="A43" t="s">
        <v>126</v>
      </c>
      <c r="B43" s="12">
        <f>Inputs!B32</f>
        <v>850</v>
      </c>
      <c r="C43" s="31"/>
      <c r="D43" s="24"/>
      <c r="I43" s="2"/>
    </row>
    <row r="44" spans="1:9" ht="30" customHeight="1" x14ac:dyDescent="0.2">
      <c r="A44" t="s">
        <v>127</v>
      </c>
      <c r="B44" s="12">
        <f>Inputs!B33</f>
        <v>0</v>
      </c>
      <c r="C44" s="31"/>
      <c r="D44" s="24"/>
      <c r="I44" s="2"/>
    </row>
    <row r="45" spans="1:9" ht="30" customHeight="1" x14ac:dyDescent="0.2">
      <c r="A45" t="s">
        <v>128</v>
      </c>
      <c r="B45" s="12">
        <f>Inputs!B30</f>
        <v>5284</v>
      </c>
      <c r="C45" s="31"/>
      <c r="D45" s="24"/>
      <c r="I45" s="2"/>
    </row>
    <row r="46" spans="1:9" ht="45" customHeight="1" x14ac:dyDescent="0.2">
      <c r="A46" t="s">
        <v>129</v>
      </c>
      <c r="B46" s="12">
        <f>Inputs!B31</f>
        <v>3318.3</v>
      </c>
      <c r="C46" s="31"/>
      <c r="D46" s="24"/>
      <c r="I46" s="2"/>
    </row>
    <row r="47" spans="1:9" ht="30" customHeight="1" x14ac:dyDescent="0.2">
      <c r="A47" t="s">
        <v>130</v>
      </c>
      <c r="B47" s="12">
        <f>B40-B41-B42-B43-B44+B45+B46</f>
        <v>51269.680908271061</v>
      </c>
      <c r="C47" s="31"/>
      <c r="D47" s="24"/>
      <c r="I47" s="2"/>
    </row>
    <row r="48" spans="1:9" ht="45" customHeight="1" x14ac:dyDescent="0.2">
      <c r="A48" t="s">
        <v>131</v>
      </c>
      <c r="B48" s="12">
        <f>B47*(1+WACC!B11)^Inputs!B34-Inputs!B35</f>
        <v>52561.819413126184</v>
      </c>
      <c r="C48" s="31"/>
      <c r="D48" s="24"/>
      <c r="I48" s="2"/>
    </row>
    <row r="49" spans="1:11" x14ac:dyDescent="0.2">
      <c r="C49" s="23"/>
      <c r="D49" s="23"/>
    </row>
    <row r="50" spans="1:11" x14ac:dyDescent="0.2">
      <c r="A50" s="4" t="s">
        <v>132</v>
      </c>
      <c r="B50" s="4" t="s">
        <v>91</v>
      </c>
      <c r="C50" s="24"/>
      <c r="D50" s="24"/>
      <c r="I50" s="24"/>
    </row>
    <row r="51" spans="1:11" ht="30" customHeight="1" x14ac:dyDescent="0.2">
      <c r="A51" t="s">
        <v>133</v>
      </c>
      <c r="B51" s="17">
        <f>B48/Inputs!B22</f>
        <v>23.559757693019357</v>
      </c>
      <c r="C51" s="34"/>
      <c r="D51" s="24"/>
      <c r="I51" s="2"/>
    </row>
    <row r="52" spans="1:11" ht="30" customHeight="1" x14ac:dyDescent="0.2">
      <c r="A52" t="s">
        <v>134</v>
      </c>
      <c r="B52" s="12">
        <f>B51/Inputs!B24*100</f>
        <v>1780.2446496160919</v>
      </c>
      <c r="C52" s="31"/>
      <c r="D52" s="24"/>
      <c r="I52" s="2"/>
    </row>
    <row r="53" spans="1:11" ht="30" customHeight="1" x14ac:dyDescent="0.2">
      <c r="A53" t="s">
        <v>135</v>
      </c>
      <c r="B53" s="11">
        <f>B52/Inputs!B23-1</f>
        <v>6.4103197618704089E-2</v>
      </c>
      <c r="C53" s="35"/>
      <c r="D53" s="24"/>
      <c r="I53" s="2"/>
    </row>
    <row r="54" spans="1:11" ht="30" customHeight="1" x14ac:dyDescent="0.2">
      <c r="A54" t="s">
        <v>136</v>
      </c>
      <c r="B54" s="18" t="s">
        <v>151</v>
      </c>
      <c r="C54" s="36"/>
      <c r="D54" s="24"/>
      <c r="I54" s="2"/>
    </row>
    <row r="56" spans="1:11" x14ac:dyDescent="0.2">
      <c r="A56" s="24"/>
    </row>
    <row r="57" spans="1:11" x14ac:dyDescent="0.2">
      <c r="A57" s="21"/>
      <c r="B57" s="22"/>
      <c r="C57" s="22"/>
      <c r="D57" s="22"/>
      <c r="E57" s="22"/>
      <c r="F57" s="22"/>
      <c r="G57" s="22"/>
      <c r="H57" s="22"/>
      <c r="I57" s="22"/>
    </row>
    <row r="58" spans="1:11" x14ac:dyDescent="0.2">
      <c r="C58" t="s">
        <v>152</v>
      </c>
      <c r="H58" s="1"/>
    </row>
    <row r="59" spans="1:11" x14ac:dyDescent="0.2">
      <c r="B59" s="12">
        <f>B52</f>
        <v>1780.2446496160919</v>
      </c>
      <c r="C59" s="19">
        <v>-5.0000000000000001E-3</v>
      </c>
      <c r="D59" s="19">
        <v>0</v>
      </c>
      <c r="E59" s="19">
        <v>5.0000000000000001E-3</v>
      </c>
      <c r="F59" s="19">
        <v>0.01</v>
      </c>
      <c r="I59" s="2"/>
    </row>
    <row r="60" spans="1:11" x14ac:dyDescent="0.2">
      <c r="A60" s="16" t="s">
        <v>137</v>
      </c>
      <c r="B60" s="19">
        <v>-0.01</v>
      </c>
      <c r="C60" s="12">
        <f>(((((('Free cash flow'!C11/(1+(WACC!$B$14+$B60))^C19)+('Free cash flow'!D11/(1+(WACC!$B$14+$B60))^D19)+('Free cash flow'!E11/(1+(WACC!$B$14+$B60))^E19)+('Free cash flow'!F11/(1+(WACC!$B$14+$B60))^F19)+('Free cash flow'!G11/(1+(WACC!$B$14+$B60))^G19))+(('Free cash flow'!$G$7*(1+(Inputs!$B$26+C$59))*(1-(Inputs!$B$26+C$59)/Inputs!$B$27)/((WACC!$B$14+$B60)-(Inputs!$B$26+C$59)))/(1+(WACC!$B$14+$B60))^$G$19))-Inputs!$B$21-Inputs!$B$29*((('Free cash flow'!C11/(1+(WACC!$B$14+$B60))^C19)+('Free cash flow'!D11/(1+(WACC!$B$14+$B60))^D19)+('Free cash flow'!E11/(1+(WACC!$B$14+$B60))^E19)+('Free cash flow'!F11/(1+(WACC!$B$14+$B60))^F19)+('Free cash flow'!G11/(1+(WACC!$B$14+$B60))^G19))+(('Free cash flow'!$G$7*(1+(Inputs!$B$26+C$59))*(1-(Inputs!$B$26+C$59)/Inputs!$B$27)/((WACC!$B$14+$B60)-(Inputs!$B$26+C$59)))/(1+(WACC!$B$14+$B60))^$G$19))-Inputs!$B$32-Inputs!$B$33+Inputs!$B$30+Inputs!$B$31)*(1+WACC!$B$11)^Inputs!$B$34-Inputs!$B$35)/Inputs!$B$22/Inputs!$B$24*100)</f>
        <v>2103.5515291075176</v>
      </c>
      <c r="D60" s="12">
        <f>(((((('Free cash flow'!C11/(1+(WACC!$B$14+$B60))^C19)+('Free cash flow'!D11/(1+(WACC!$B$14+$B60))^D19)+('Free cash flow'!E11/(1+(WACC!$B$14+$B60))^E19)+('Free cash flow'!F11/(1+(WACC!$B$14+$B60))^F19)+('Free cash flow'!G11/(1+(WACC!$B$14+$B60))^G19))+(('Free cash flow'!$G$7*(1+(Inputs!$B$26+D$59))*(1-(Inputs!$B$26+D$59)/Inputs!$B$27)/((WACC!$B$14+$B60)-(Inputs!$B$26+D$59)))/(1+(WACC!$B$14+$B60))^$G$19))-Inputs!$B$21-Inputs!$B$29*((('Free cash flow'!C11/(1+(WACC!$B$14+$B60))^C19)+('Free cash flow'!D11/(1+(WACC!$B$14+$B60))^D19)+('Free cash flow'!E11/(1+(WACC!$B$14+$B60))^E19)+('Free cash flow'!F11/(1+(WACC!$B$14+$B60))^F19)+('Free cash flow'!G11/(1+(WACC!$B$14+$B60))^G19))+(('Free cash flow'!$G$7*(1+(Inputs!$B$26+D$59))*(1-(Inputs!$B$26+D$59)/Inputs!$B$27)/((WACC!$B$14+$B60)-(Inputs!$B$26+D$59)))/(1+(WACC!$B$14+$B60))^$G$19))-Inputs!$B$32-Inputs!$B$33+Inputs!$B$30+Inputs!$B$31)*(1+WACC!$B$11)^Inputs!$B$34-Inputs!$B$35)/Inputs!$B$22/Inputs!$B$24*100)</f>
        <v>2226.0088382855793</v>
      </c>
      <c r="E60" s="12">
        <f>(((((('Free cash flow'!C11/(1+(WACC!$B$14+$B60))^C19)+('Free cash flow'!D11/(1+(WACC!$B$14+$B60))^D19)+('Free cash flow'!E11/(1+(WACC!$B$14+$B60))^E19)+('Free cash flow'!F11/(1+(WACC!$B$14+$B60))^F19)+('Free cash flow'!G11/(1+(WACC!$B$14+$B60))^G19))+(('Free cash flow'!$G$7*(1+(Inputs!$B$26+E$59))*(1-(Inputs!$B$26+E$59)/Inputs!$B$27)/((WACC!$B$14+$B60)-(Inputs!$B$26+E$59)))/(1+(WACC!$B$14+$B60))^$G$19))-Inputs!$B$21-Inputs!$B$29*((('Free cash flow'!C11/(1+(WACC!$B$14+$B60))^C19)+('Free cash flow'!D11/(1+(WACC!$B$14+$B60))^D19)+('Free cash flow'!E11/(1+(WACC!$B$14+$B60))^E19)+('Free cash flow'!F11/(1+(WACC!$B$14+$B60))^F19)+('Free cash flow'!G11/(1+(WACC!$B$14+$B60))^G19))+(('Free cash flow'!$G$7*(1+(Inputs!$B$26+E$59))*(1-(Inputs!$B$26+E$59)/Inputs!$B$27)/((WACC!$B$14+$B60)-(Inputs!$B$26+E$59)))/(1+(WACC!$B$14+$B60))^$G$19))-Inputs!$B$32-Inputs!$B$33+Inputs!$B$30+Inputs!$B$31)*(1+WACC!$B$11)^Inputs!$B$34-Inputs!$B$35)/Inputs!$B$22/Inputs!$B$24*100)</f>
        <v>2375.2883355232575</v>
      </c>
      <c r="F60" s="12">
        <f>(((((('Free cash flow'!C11/(1+(WACC!$B$14+$B60))^C19)+('Free cash flow'!D11/(1+(WACC!$B$14+$B60))^D19)+('Free cash flow'!E11/(1+(WACC!$B$14+$B60))^E19)+('Free cash flow'!F11/(1+(WACC!$B$14+$B60))^F19)+('Free cash flow'!G11/(1+(WACC!$B$14+$B60))^G19))+(('Free cash flow'!$G$7*(1+(Inputs!$B$26+F$59))*(1-(Inputs!$B$26+F$59)/Inputs!$B$27)/((WACC!$B$14+$B60)-(Inputs!$B$26+F$59)))/(1+(WACC!$B$14+$B60))^$G$19))-Inputs!$B$21-Inputs!$B$29*((('Free cash flow'!C11/(1+(WACC!$B$14+$B60))^C19)+('Free cash flow'!D11/(1+(WACC!$B$14+$B60))^D19)+('Free cash flow'!E11/(1+(WACC!$B$14+$B60))^E19)+('Free cash flow'!F11/(1+(WACC!$B$14+$B60))^F19)+('Free cash flow'!G11/(1+(WACC!$B$14+$B60))^G19))+(('Free cash flow'!$G$7*(1+(Inputs!$B$26+F$59))*(1-(Inputs!$B$26+F$59)/Inputs!$B$27)/((WACC!$B$14+$B60)-(Inputs!$B$26+F$59)))/(1+(WACC!$B$14+$B60))^$G$19))-Inputs!$B$32-Inputs!$B$33+Inputs!$B$30+Inputs!$B$31)*(1+WACC!$B$11)^Inputs!$B$34-Inputs!$B$35)/Inputs!$B$22/Inputs!$B$24*100)</f>
        <v>2561.7110119118388</v>
      </c>
      <c r="H60" s="31"/>
      <c r="I60" s="31"/>
      <c r="J60" s="31"/>
      <c r="K60" s="31"/>
    </row>
    <row r="61" spans="1:11" x14ac:dyDescent="0.2">
      <c r="A61" s="16" t="s">
        <v>138</v>
      </c>
      <c r="B61" s="19">
        <v>-5.0000000000000001E-3</v>
      </c>
      <c r="C61" s="12">
        <f>(((((('Free cash flow'!C11/(1+(WACC!$B$14+$B61))^C19)+('Free cash flow'!D11/(1+(WACC!$B$14+$B61))^D19)+('Free cash flow'!E11/(1+(WACC!$B$14+$B61))^E19)+('Free cash flow'!F11/(1+(WACC!$B$14+$B61))^F19)+('Free cash flow'!G11/(1+(WACC!$B$14+$B61))^G19))+(('Free cash flow'!$G$7*(1+(Inputs!$B$26+C$59))*(1-(Inputs!$B$26+C$59)/Inputs!$B$27)/((WACC!$B$14+$B61)-(Inputs!$B$26+C$59)))/(1+(WACC!$B$14+$B61))^$G$19))-Inputs!$B$21-Inputs!$B$29*((('Free cash flow'!C11/(1+(WACC!$B$14+$B61))^C19)+('Free cash flow'!D11/(1+(WACC!$B$14+$B61))^D19)+('Free cash flow'!E11/(1+(WACC!$B$14+$B61))^E19)+('Free cash flow'!F11/(1+(WACC!$B$14+$B61))^F19)+('Free cash flow'!G11/(1+(WACC!$B$14+$B61))^G19))+(('Free cash flow'!$G$7*(1+(Inputs!$B$26+C$59))*(1-(Inputs!$B$26+C$59)/Inputs!$B$27)/((WACC!$B$14+$B61)-(Inputs!$B$26+C$59)))/(1+(WACC!$B$14+$B61))^$G$19))-Inputs!$B$32-Inputs!$B$33+Inputs!$B$30+Inputs!$B$31)*(1+WACC!$B$11)^Inputs!$B$34-Inputs!$B$35)/Inputs!$B$22/Inputs!$B$24*100)</f>
        <v>1889.1024022591853</v>
      </c>
      <c r="D61" s="12">
        <f>(((((('Free cash flow'!C11/(1+(WACC!$B$14+$B61))^C19)+('Free cash flow'!D11/(1+(WACC!$B$14+$B61))^D19)+('Free cash flow'!E11/(1+(WACC!$B$14+$B61))^E19)+('Free cash flow'!F11/(1+(WACC!$B$14+$B61))^F19)+('Free cash flow'!G11/(1+(WACC!$B$14+$B61))^G19))+(('Free cash flow'!$G$7*(1+(Inputs!$B$26+D$59))*(1-(Inputs!$B$26+D$59)/Inputs!$B$27)/((WACC!$B$14+$B61)-(Inputs!$B$26+D$59)))/(1+(WACC!$B$14+$B61))^$G$19))-Inputs!$B$21-Inputs!$B$29*((('Free cash flow'!C11/(1+(WACC!$B$14+$B61))^C19)+('Free cash flow'!D11/(1+(WACC!$B$14+$B61))^D19)+('Free cash flow'!E11/(1+(WACC!$B$14+$B61))^E19)+('Free cash flow'!F11/(1+(WACC!$B$14+$B61))^F19)+('Free cash flow'!G11/(1+(WACC!$B$14+$B61))^G19))+(('Free cash flow'!$G$7*(1+(Inputs!$B$26+D$59))*(1-(Inputs!$B$26+D$59)/Inputs!$B$27)/((WACC!$B$14+$B61)-(Inputs!$B$26+D$59)))/(1+(WACC!$B$14+$B61))^$G$19))-Inputs!$B$32-Inputs!$B$33+Inputs!$B$30+Inputs!$B$31)*(1+WACC!$B$11)^Inputs!$B$34-Inputs!$B$35)/Inputs!$B$22/Inputs!$B$24*100)</f>
        <v>1982.466569931574</v>
      </c>
      <c r="E61" s="12">
        <f>(((((('Free cash flow'!C11/(1+(WACC!$B$14+$B61))^C19)+('Free cash flow'!D11/(1+(WACC!$B$14+$B61))^D19)+('Free cash flow'!E11/(1+(WACC!$B$14+$B61))^E19)+('Free cash flow'!F11/(1+(WACC!$B$14+$B61))^F19)+('Free cash flow'!G11/(1+(WACC!$B$14+$B61))^G19))+(('Free cash flow'!$G$7*(1+(Inputs!$B$26+E$59))*(1-(Inputs!$B$26+E$59)/Inputs!$B$27)/((WACC!$B$14+$B61)-(Inputs!$B$26+E$59)))/(1+(WACC!$B$14+$B61))^$G$19))-Inputs!$B$21-Inputs!$B$29*((('Free cash flow'!C11/(1+(WACC!$B$14+$B61))^C19)+('Free cash flow'!D11/(1+(WACC!$B$14+$B61))^D19)+('Free cash flow'!E11/(1+(WACC!$B$14+$B61))^E19)+('Free cash flow'!F11/(1+(WACC!$B$14+$B61))^F19)+('Free cash flow'!G11/(1+(WACC!$B$14+$B61))^G19))+(('Free cash flow'!$G$7*(1+(Inputs!$B$26+E$59))*(1-(Inputs!$B$26+E$59)/Inputs!$B$27)/((WACC!$B$14+$B61)-(Inputs!$B$26+E$59)))/(1+(WACC!$B$14+$B61))^$G$19))-Inputs!$B$32-Inputs!$B$33+Inputs!$B$30+Inputs!$B$31)*(1+WACC!$B$11)^Inputs!$B$34-Inputs!$B$35)/Inputs!$B$22/Inputs!$B$24*100)</f>
        <v>2093.9944430160317</v>
      </c>
      <c r="F61" s="12">
        <f>(((((('Free cash flow'!C11/(1+(WACC!$B$14+$B61))^C19)+('Free cash flow'!D11/(1+(WACC!$B$14+$B61))^D19)+('Free cash flow'!E11/(1+(WACC!$B$14+$B61))^E19)+('Free cash flow'!F11/(1+(WACC!$B$14+$B61))^F19)+('Free cash flow'!G11/(1+(WACC!$B$14+$B61))^G19))+(('Free cash flow'!$G$7*(1+(Inputs!$B$26+F$59))*(1-(Inputs!$B$26+F$59)/Inputs!$B$27)/((WACC!$B$14+$B61)-(Inputs!$B$26+F$59)))/(1+(WACC!$B$14+$B61))^$G$19))-Inputs!$B$21-Inputs!$B$29*((('Free cash flow'!C11/(1+(WACC!$B$14+$B61))^C19)+('Free cash flow'!D11/(1+(WACC!$B$14+$B61))^D19)+('Free cash flow'!E11/(1+(WACC!$B$14+$B61))^E19)+('Free cash flow'!F11/(1+(WACC!$B$14+$B61))^F19)+('Free cash flow'!G11/(1+(WACC!$B$14+$B61))^G19))+(('Free cash flow'!$G$7*(1+(Inputs!$B$26+F$59))*(1-(Inputs!$B$26+F$59)/Inputs!$B$27)/((WACC!$B$14+$B61)-(Inputs!$B$26+F$59)))/(1+(WACC!$B$14+$B61))^$G$19))-Inputs!$B$32-Inputs!$B$33+Inputs!$B$30+Inputs!$B$31)*(1+WACC!$B$11)^Inputs!$B$34-Inputs!$B$35)/Inputs!$B$22/Inputs!$B$24*100)</f>
        <v>2229.8807287447844</v>
      </c>
      <c r="H61" s="31"/>
      <c r="I61" s="31"/>
      <c r="J61" s="31"/>
      <c r="K61" s="31"/>
    </row>
    <row r="62" spans="1:11" x14ac:dyDescent="0.2">
      <c r="A62" s="16" t="s">
        <v>139</v>
      </c>
      <c r="B62" s="19">
        <v>0</v>
      </c>
      <c r="C62" s="12">
        <f>(((((('Free cash flow'!C11/(1+(WACC!$B$14+$B62))^C19)+('Free cash flow'!D11/(1+(WACC!$B$14+$B62))^D19)+('Free cash flow'!E11/(1+(WACC!$B$14+$B62))^E19)+('Free cash flow'!F11/(1+(WACC!$B$14+$B62))^F19)+('Free cash flow'!G11/(1+(WACC!$B$14+$B62))^G19))+(('Free cash flow'!$G$7*(1+(Inputs!$B$26+C$59))*(1-(Inputs!$B$26+C$59)/Inputs!$B$27)/((WACC!$B$14+$B62)-(Inputs!$B$26+C$59)))/(1+(WACC!$B$14+$B62))^$G$19))-Inputs!$B$21-Inputs!$B$29*((('Free cash flow'!C11/(1+(WACC!$B$14+$B62))^C19)+('Free cash flow'!D11/(1+(WACC!$B$14+$B62))^D19)+('Free cash flow'!E11/(1+(WACC!$B$14+$B62))^E19)+('Free cash flow'!F11/(1+(WACC!$B$14+$B62))^F19)+('Free cash flow'!G11/(1+(WACC!$B$14+$B62))^G19))+(('Free cash flow'!$G$7*(1+(Inputs!$B$26+C$59))*(1-(Inputs!$B$26+C$59)/Inputs!$B$27)/((WACC!$B$14+$B62)-(Inputs!$B$26+C$59)))/(1+(WACC!$B$14+$B62))^$G$19))-Inputs!$B$32-Inputs!$B$33+Inputs!$B$30+Inputs!$B$31)*(1+WACC!$B$11)^Inputs!$B$34-Inputs!$B$35)/Inputs!$B$22/Inputs!$B$24*100)</f>
        <v>1708.2398244666213</v>
      </c>
      <c r="D62" s="12">
        <f>(((((('Free cash flow'!C11/(1+(WACC!$B$14+$B62))^C19)+('Free cash flow'!D11/(1+(WACC!$B$14+$B62))^D19)+('Free cash flow'!E11/(1+(WACC!$B$14+$B62))^E19)+('Free cash flow'!F11/(1+(WACC!$B$14+$B62))^F19)+('Free cash flow'!G11/(1+(WACC!$B$14+$B62))^G19))+(('Free cash flow'!$G$7*(1+(Inputs!$B$26+D$59))*(1-(Inputs!$B$26+D$59)/Inputs!$B$27)/((WACC!$B$14+$B62)-(Inputs!$B$26+D$59)))/(1+(WACC!$B$14+$B62))^$G$19))-Inputs!$B$21-Inputs!$B$29*((('Free cash flow'!C11/(1+(WACC!$B$14+$B62))^C19)+('Free cash flow'!D11/(1+(WACC!$B$14+$B62))^D19)+('Free cash flow'!E11/(1+(WACC!$B$14+$B62))^E19)+('Free cash flow'!F11/(1+(WACC!$B$14+$B62))^F19)+('Free cash flow'!G11/(1+(WACC!$B$14+$B62))^G19))+(('Free cash flow'!$G$7*(1+(Inputs!$B$26+D$59))*(1-(Inputs!$B$26+D$59)/Inputs!$B$27)/((WACC!$B$14+$B62)-(Inputs!$B$26+D$59)))/(1+(WACC!$B$14+$B62))^$G$19))-Inputs!$B$32-Inputs!$B$33+Inputs!$B$30+Inputs!$B$31)*(1+WACC!$B$11)^Inputs!$B$34-Inputs!$B$35)/Inputs!$B$22/Inputs!$B$24*100)</f>
        <v>1780.244649616091</v>
      </c>
      <c r="E62" s="12">
        <f>(((((('Free cash flow'!C11/(1+(WACC!$B$14+$B62))^C19)+('Free cash flow'!D11/(1+(WACC!$B$14+$B62))^D19)+('Free cash flow'!E11/(1+(WACC!$B$14+$B62))^E19)+('Free cash flow'!F11/(1+(WACC!$B$14+$B62))^F19)+('Free cash flow'!G11/(1+(WACC!$B$14+$B62))^G19))+(('Free cash flow'!$G$7*(1+(Inputs!$B$26+E$59))*(1-(Inputs!$B$26+E$59)/Inputs!$B$27)/((WACC!$B$14+$B62)-(Inputs!$B$26+E$59)))/(1+(WACC!$B$14+$B62))^$G$19))-Inputs!$B$21-Inputs!$B$29*((('Free cash flow'!C11/(1+(WACC!$B$14+$B62))^C19)+('Free cash flow'!D11/(1+(WACC!$B$14+$B62))^D19)+('Free cash flow'!E11/(1+(WACC!$B$14+$B62))^E19)+('Free cash flow'!F11/(1+(WACC!$B$14+$B62))^F19)+('Free cash flow'!G11/(1+(WACC!$B$14+$B62))^G19))+(('Free cash flow'!$G$7*(1+(Inputs!$B$26+E$59))*(1-(Inputs!$B$26+E$59)/Inputs!$B$27)/((WACC!$B$14+$B62)-(Inputs!$B$26+E$59)))/(1+(WACC!$B$14+$B62))^$G$19))-Inputs!$B$32-Inputs!$B$33+Inputs!$B$30+Inputs!$B$31)*(1+WACC!$B$11)^Inputs!$B$34-Inputs!$B$35)/Inputs!$B$22/Inputs!$B$24*100)</f>
        <v>1864.7908809810001</v>
      </c>
      <c r="F62" s="12">
        <f>(((((('Free cash flow'!C11/(1+(WACC!$B$14+$B62))^C19)+('Free cash flow'!D11/(1+(WACC!$B$14+$B62))^D19)+('Free cash flow'!E11/(1+(WACC!$B$14+$B62))^E19)+('Free cash flow'!F11/(1+(WACC!$B$14+$B62))^F19)+('Free cash flow'!G11/(1+(WACC!$B$14+$B62))^G19))+(('Free cash flow'!$G$7*(1+(Inputs!$B$26+F$59))*(1-(Inputs!$B$26+F$59)/Inputs!$B$27)/((WACC!$B$14+$B62)-(Inputs!$B$26+F$59)))/(1+(WACC!$B$14+$B62))^$G$19))-Inputs!$B$21-Inputs!$B$29*((('Free cash flow'!C11/(1+(WACC!$B$14+$B62))^C19)+('Free cash flow'!D11/(1+(WACC!$B$14+$B62))^D19)+('Free cash flow'!E11/(1+(WACC!$B$14+$B62))^E19)+('Free cash flow'!F11/(1+(WACC!$B$14+$B62))^F19)+('Free cash flow'!G11/(1+(WACC!$B$14+$B62))^G19))+(('Free cash flow'!$G$7*(1+(Inputs!$B$26+F$59))*(1-(Inputs!$B$26+F$59)/Inputs!$B$27)/((WACC!$B$14+$B62)-(Inputs!$B$26+F$59)))/(1+(WACC!$B$14+$B62))^$G$19))-Inputs!$B$32-Inputs!$B$33+Inputs!$B$30+Inputs!$B$31)*(1+WACC!$B$11)^Inputs!$B$34-Inputs!$B$35)/Inputs!$B$22/Inputs!$B$24*100)</f>
        <v>1965.7191357934203</v>
      </c>
      <c r="H62" s="31"/>
      <c r="I62" s="31"/>
      <c r="J62" s="31"/>
      <c r="K62" s="31"/>
    </row>
    <row r="63" spans="1:11" x14ac:dyDescent="0.2">
      <c r="A63" s="16" t="s">
        <v>140</v>
      </c>
      <c r="B63" s="19">
        <v>5.0000000000000001E-3</v>
      </c>
      <c r="C63" s="12">
        <f>(((((('Free cash flow'!C11/(1+(WACC!$B$14+$B63))^C19)+('Free cash flow'!D11/(1+(WACC!$B$14+$B63))^D19)+('Free cash flow'!E11/(1+(WACC!$B$14+$B63))^E19)+('Free cash flow'!F11/(1+(WACC!$B$14+$B63))^F19)+('Free cash flow'!G11/(1+(WACC!$B$14+$B63))^G19))+(('Free cash flow'!$G$7*(1+(Inputs!$B$26+C$59))*(1-(Inputs!$B$26+C$59)/Inputs!$B$27)/((WACC!$B$14+$B63)-(Inputs!$B$26+C$59)))/(1+(WACC!$B$14+$B63))^$G$19))-Inputs!$B$21-Inputs!$B$29*((('Free cash flow'!C11/(1+(WACC!$B$14+$B63))^C19)+('Free cash flow'!D11/(1+(WACC!$B$14+$B63))^D19)+('Free cash flow'!E11/(1+(WACC!$B$14+$B63))^E19)+('Free cash flow'!F11/(1+(WACC!$B$14+$B63))^F19)+('Free cash flow'!G11/(1+(WACC!$B$14+$B63))^G19))+(('Free cash flow'!$G$7*(1+(Inputs!$B$26+C$59))*(1-(Inputs!$B$26+C$59)/Inputs!$B$27)/((WACC!$B$14+$B63)-(Inputs!$B$26+C$59)))/(1+(WACC!$B$14+$B63))^$G$19))-Inputs!$B$32-Inputs!$B$33+Inputs!$B$30+Inputs!$B$31)*(1+WACC!$B$11)^Inputs!$B$34-Inputs!$B$35)/Inputs!$B$22/Inputs!$B$24*100)</f>
        <v>1553.6583678962897</v>
      </c>
      <c r="D63" s="12">
        <f>(((((('Free cash flow'!C11/(1+(WACC!$B$14+$B63))^C19)+('Free cash flow'!D11/(1+(WACC!$B$14+$B63))^D19)+('Free cash flow'!E11/(1+(WACC!$B$14+$B63))^E19)+('Free cash flow'!F11/(1+(WACC!$B$14+$B63))^F19)+('Free cash flow'!G11/(1+(WACC!$B$14+$B63))^G19))+(('Free cash flow'!$G$7*(1+(Inputs!$B$26+D$59))*(1-(Inputs!$B$26+D$59)/Inputs!$B$27)/((WACC!$B$14+$B63)-(Inputs!$B$26+D$59)))/(1+(WACC!$B$14+$B63))^$G$19))-Inputs!$B$21-Inputs!$B$29*((('Free cash flow'!C11/(1+(WACC!$B$14+$B63))^C19)+('Free cash flow'!D11/(1+(WACC!$B$14+$B63))^D19)+('Free cash flow'!E11/(1+(WACC!$B$14+$B63))^E19)+('Free cash flow'!F11/(1+(WACC!$B$14+$B63))^F19)+('Free cash flow'!G11/(1+(WACC!$B$14+$B63))^G19))+(('Free cash flow'!$G$7*(1+(Inputs!$B$26+D$59))*(1-(Inputs!$B$26+D$59)/Inputs!$B$27)/((WACC!$B$14+$B63)-(Inputs!$B$26+D$59)))/(1+(WACC!$B$14+$B63))^$G$19))-Inputs!$B$32-Inputs!$B$33+Inputs!$B$30+Inputs!$B$31)*(1+WACC!$B$11)^Inputs!$B$34-Inputs!$B$35)/Inputs!$B$22/Inputs!$B$24*100)</f>
        <v>1609.6548536811931</v>
      </c>
      <c r="E63" s="12">
        <f>(((((('Free cash flow'!C11/(1+(WACC!$B$14+$B63))^C19)+('Free cash flow'!D11/(1+(WACC!$B$14+$B63))^D19)+('Free cash flow'!E11/(1+(WACC!$B$14+$B63))^E19)+('Free cash flow'!F11/(1+(WACC!$B$14+$B63))^F19)+('Free cash flow'!G11/(1+(WACC!$B$14+$B63))^G19))+(('Free cash flow'!$G$7*(1+(Inputs!$B$26+E$59))*(1-(Inputs!$B$26+E$59)/Inputs!$B$27)/((WACC!$B$14+$B63)-(Inputs!$B$26+E$59)))/(1+(WACC!$B$14+$B63))^$G$19))-Inputs!$B$21-Inputs!$B$29*((('Free cash flow'!C11/(1+(WACC!$B$14+$B63))^C19)+('Free cash flow'!D11/(1+(WACC!$B$14+$B63))^D19)+('Free cash flow'!E11/(1+(WACC!$B$14+$B63))^E19)+('Free cash flow'!F11/(1+(WACC!$B$14+$B63))^F19)+('Free cash flow'!G11/(1+(WACC!$B$14+$B63))^G19))+(('Free cash flow'!$G$7*(1+(Inputs!$B$26+E$59))*(1-(Inputs!$B$26+E$59)/Inputs!$B$27)/((WACC!$B$14+$B63)-(Inputs!$B$26+E$59)))/(1+(WACC!$B$14+$B63))^$G$19))-Inputs!$B$32-Inputs!$B$33+Inputs!$B$30+Inputs!$B$31)*(1+WACC!$B$11)^Inputs!$B$34-Inputs!$B$35)/Inputs!$B$22/Inputs!$B$24*100)</f>
        <v>1674.4305081538414</v>
      </c>
      <c r="F63" s="12">
        <f>(((((('Free cash flow'!C11/(1+(WACC!$B$14+$B63))^C19)+('Free cash flow'!D11/(1+(WACC!$B$14+$B63))^D19)+('Free cash flow'!E11/(1+(WACC!$B$14+$B63))^E19)+('Free cash flow'!F11/(1+(WACC!$B$14+$B63))^F19)+('Free cash flow'!G11/(1+(WACC!$B$14+$B63))^G19))+(('Free cash flow'!$G$7*(1+(Inputs!$B$26+F$59))*(1-(Inputs!$B$26+F$59)/Inputs!$B$27)/((WACC!$B$14+$B63)-(Inputs!$B$26+F$59)))/(1+(WACC!$B$14+$B63))^$G$19))-Inputs!$B$21-Inputs!$B$29*((('Free cash flow'!C11/(1+(WACC!$B$14+$B63))^C19)+('Free cash flow'!D11/(1+(WACC!$B$14+$B63))^D19)+('Free cash flow'!E11/(1+(WACC!$B$14+$B63))^E19)+('Free cash flow'!F11/(1+(WACC!$B$14+$B63))^F19)+('Free cash flow'!G11/(1+(WACC!$B$14+$B63))^G19))+(('Free cash flow'!$G$7*(1+(Inputs!$B$26+F$59))*(1-(Inputs!$B$26+F$59)/Inputs!$B$27)/((WACC!$B$14+$B63)-(Inputs!$B$26+F$59)))/(1+(WACC!$B$14+$B63))^$G$19))-Inputs!$B$32-Inputs!$B$33+Inputs!$B$30+Inputs!$B$31)*(1+WACC!$B$11)^Inputs!$B$34-Inputs!$B$35)/Inputs!$B$22/Inputs!$B$24*100)</f>
        <v>1750.4248026757739</v>
      </c>
      <c r="H63" s="31"/>
      <c r="I63" s="31"/>
      <c r="J63" s="31"/>
      <c r="K63" s="31"/>
    </row>
    <row r="64" spans="1:11" x14ac:dyDescent="0.2">
      <c r="A64" s="16" t="s">
        <v>141</v>
      </c>
      <c r="B64" s="19">
        <v>0.01</v>
      </c>
      <c r="C64" s="12">
        <f>(((((('Free cash flow'!C11/(1+(WACC!$B$14+$B64))^C19)+('Free cash flow'!D11/(1+(WACC!$B$14+$B64))^D19)+('Free cash flow'!E11/(1+(WACC!$B$14+$B64))^E19)+('Free cash flow'!F11/(1+(WACC!$B$14+$B64))^F19)+('Free cash flow'!G11/(1+(WACC!$B$14+$B64))^G19))+(('Free cash flow'!$G$7*(1+(Inputs!$B$26+C$59))*(1-(Inputs!$B$26+C$59)/Inputs!$B$27)/((WACC!$B$14+$B64)-(Inputs!$B$26+C$59)))/(1+(WACC!$B$14+$B64))^$G$19))-Inputs!$B$21-Inputs!$B$29*((('Free cash flow'!C11/(1+(WACC!$B$14+$B64))^C19)+('Free cash flow'!D11/(1+(WACC!$B$14+$B64))^D19)+('Free cash flow'!E11/(1+(WACC!$B$14+$B64))^E19)+('Free cash flow'!F11/(1+(WACC!$B$14+$B64))^F19)+('Free cash flow'!G11/(1+(WACC!$B$14+$B64))^G19))+(('Free cash flow'!$G$7*(1+(Inputs!$B$26+C$59))*(1-(Inputs!$B$26+C$59)/Inputs!$B$27)/((WACC!$B$14+$B64)-(Inputs!$B$26+C$59)))/(1+(WACC!$B$14+$B64))^$G$19))-Inputs!$B$32-Inputs!$B$33+Inputs!$B$30+Inputs!$B$31)*(1+WACC!$B$11)^Inputs!$B$34-Inputs!$B$35)/Inputs!$B$22/Inputs!$B$24*100)</f>
        <v>1420.0275927185783</v>
      </c>
      <c r="D64" s="12">
        <f>(((((('Free cash flow'!C11/(1+(WACC!$B$14+$B64))^C19)+('Free cash flow'!D11/(1+(WACC!$B$14+$B64))^D19)+('Free cash flow'!E11/(1+(WACC!$B$14+$B64))^E19)+('Free cash flow'!F11/(1+(WACC!$B$14+$B64))^F19)+('Free cash flow'!G11/(1+(WACC!$B$14+$B64))^G19))+(('Free cash flow'!$G$7*(1+(Inputs!$B$26+D$59))*(1-(Inputs!$B$26+D$59)/Inputs!$B$27)/((WACC!$B$14+$B64)-(Inputs!$B$26+D$59)))/(1+(WACC!$B$14+$B64))^$G$19))-Inputs!$B$21-Inputs!$B$29*((('Free cash flow'!C11/(1+(WACC!$B$14+$B64))^C19)+('Free cash flow'!D11/(1+(WACC!$B$14+$B64))^D19)+('Free cash flow'!E11/(1+(WACC!$B$14+$B64))^E19)+('Free cash flow'!F11/(1+(WACC!$B$14+$B64))^F19)+('Free cash flow'!G11/(1+(WACC!$B$14+$B64))^G19))+(('Free cash flow'!$G$7*(1+(Inputs!$B$26+D$59))*(1-(Inputs!$B$26+D$59)/Inputs!$B$27)/((WACC!$B$14+$B64)-(Inputs!$B$26+D$59)))/(1+(WACC!$B$14+$B64))^$G$19))-Inputs!$B$32-Inputs!$B$33+Inputs!$B$30+Inputs!$B$31)*(1+WACC!$B$11)^Inputs!$B$34-Inputs!$B$35)/Inputs!$B$22/Inputs!$B$24*100)</f>
        <v>1463.8179066844189</v>
      </c>
      <c r="E64" s="12">
        <f>(((((('Free cash flow'!C11/(1+(WACC!$B$14+$B64))^C19)+('Free cash flow'!D11/(1+(WACC!$B$14+$B64))^D19)+('Free cash flow'!E11/(1+(WACC!$B$14+$B64))^E19)+('Free cash flow'!F11/(1+(WACC!$B$14+$B64))^F19)+('Free cash flow'!G11/(1+(WACC!$B$14+$B64))^G19))+(('Free cash flow'!$G$7*(1+(Inputs!$B$26+E$59))*(1-(Inputs!$B$26+E$59)/Inputs!$B$27)/((WACC!$B$14+$B64)-(Inputs!$B$26+E$59)))/(1+(WACC!$B$14+$B64))^$G$19))-Inputs!$B$21-Inputs!$B$29*((('Free cash flow'!C11/(1+(WACC!$B$14+$B64))^C19)+('Free cash flow'!D11/(1+(WACC!$B$14+$B64))^D19)+('Free cash flow'!E11/(1+(WACC!$B$14+$B64))^E19)+('Free cash flow'!F11/(1+(WACC!$B$14+$B64))^F19)+('Free cash flow'!G11/(1+(WACC!$B$14+$B64))^G19))+(('Free cash flow'!$G$7*(1+(Inputs!$B$26+E$59))*(1-(Inputs!$B$26+E$59)/Inputs!$B$27)/((WACC!$B$14+$B64)-(Inputs!$B$26+E$59)))/(1+(WACC!$B$14+$B64))^$G$19))-Inputs!$B$32-Inputs!$B$33+Inputs!$B$30+Inputs!$B$31)*(1+WACC!$B$11)^Inputs!$B$34-Inputs!$B$35)/Inputs!$B$22/Inputs!$B$24*100)</f>
        <v>1513.8070757615235</v>
      </c>
      <c r="F64" s="12">
        <f>(((((('Free cash flow'!C11/(1+(WACC!$B$14+$B64))^C19)+('Free cash flow'!D11/(1+(WACC!$B$14+$B64))^D19)+('Free cash flow'!E11/(1+(WACC!$B$14+$B64))^E19)+('Free cash flow'!F11/(1+(WACC!$B$14+$B64))^F19)+('Free cash flow'!G11/(1+(WACC!$B$14+$B64))^G19))+(('Free cash flow'!$G$7*(1+(Inputs!$B$26+F$59))*(1-(Inputs!$B$26+F$59)/Inputs!$B$27)/((WACC!$B$14+$B64)-(Inputs!$B$26+F$59)))/(1+(WACC!$B$14+$B64))^$G$19))-Inputs!$B$21-Inputs!$B$29*((('Free cash flow'!C11/(1+(WACC!$B$14+$B64))^C19)+('Free cash flow'!D11/(1+(WACC!$B$14+$B64))^D19)+('Free cash flow'!E11/(1+(WACC!$B$14+$B64))^E19)+('Free cash flow'!F11/(1+(WACC!$B$14+$B64))^F19)+('Free cash flow'!G11/(1+(WACC!$B$14+$B64))^G19))+(('Free cash flow'!$G$7*(1+(Inputs!$B$26+F$59))*(1-(Inputs!$B$26+F$59)/Inputs!$B$27)/((WACC!$B$14+$B64)-(Inputs!$B$26+F$59)))/(1+(WACC!$B$14+$B64))^$G$19))-Inputs!$B$32-Inputs!$B$33+Inputs!$B$30+Inputs!$B$31)*(1+WACC!$B$11)^Inputs!$B$34-Inputs!$B$35)/Inputs!$B$22/Inputs!$B$24*100)</f>
        <v>1571.5715611565424</v>
      </c>
      <c r="H64" s="31"/>
      <c r="I64" s="31"/>
      <c r="J64" s="31"/>
      <c r="K64" s="31"/>
    </row>
    <row r="65" spans="1:6" x14ac:dyDescent="0.2">
      <c r="A65" s="16" t="s">
        <v>142</v>
      </c>
      <c r="C65" s="20" t="s">
        <v>143</v>
      </c>
      <c r="D65" s="20" t="s">
        <v>144</v>
      </c>
      <c r="E65" s="20" t="s">
        <v>145</v>
      </c>
      <c r="F65" s="20" t="s">
        <v>146</v>
      </c>
    </row>
    <row r="66" spans="1:6" x14ac:dyDescent="0.2">
      <c r="A66" s="1"/>
      <c r="D66" s="1"/>
    </row>
  </sheetData>
  <mergeCells count="2">
    <mergeCell ref="A57:I57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Inputs</vt:lpstr>
      <vt:lpstr>Sales &amp; EBIT</vt:lpstr>
      <vt:lpstr>Free cash flow</vt:lpstr>
      <vt:lpstr>WACC</vt:lpstr>
      <vt:lpstr>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Amanda Lombardo Mori</cp:lastModifiedBy>
  <dcterms:created xsi:type="dcterms:W3CDTF">2026-10-15T22:18:42Z</dcterms:created>
  <dcterms:modified xsi:type="dcterms:W3CDTF">2026-10-16T00:15:04Z</dcterms:modified>
</cp:coreProperties>
</file>