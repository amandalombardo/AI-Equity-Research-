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How to check" sheetId="1" state="visible" r:id="rId3"/>
    <sheet name="2 Inputs" sheetId="2" state="visible" r:id="rId4"/>
    <sheet name="3 Compare" sheetId="3" state="visible" r:id="rId5"/>
    <sheet name="4 Claude mode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<sst xmlns="http://schemas.openxmlformats.org/spreadsheetml/2006/main" count="186" uniqueCount="162">
  <si>
    <t xml:space="preserve">Diageo DCF: checking the desk against your own Excel model</t>
  </si>
  <si>
    <t xml:space="preserve">Pass test (brief section 6): your value per share must be within 2% of the desk's 1,627.3p, i.e. between 1,594.7p and 1,659.8p. Any gap gets explained. (Updated 13 Oct 2026 for your mid-year decision; it was 1,544.8p with year-end discounting.)</t>
  </si>
  <si>
    <t xml:space="preserve">IF YOU ALREADY HAVE A MODEL: type the inputs from tab 2 into it, then fill in the yellow column on tab 3. Steps 1-9 below tell you the conventions the desk used, so differences are about maths, not set-up.</t>
  </si>
  <si>
    <t xml:space="preserve">IF YOU DON'T: build it fresh in a new sheet from tab 2 only. Don't open dcf.xlsx until you have your answer, or the check is no longer independent.</t>
  </si>
  <si>
    <t xml:space="preserve">1</t>
  </si>
  <si>
    <t xml:space="preserve">Sales: FY26 base USD 18,505.5m (excludes EABL, which is being sold). Grow by 0%, 1.5%, 2.5%, 3%, 3% for FY27 to FY31.</t>
  </si>
  <si>
    <t xml:space="preserve">2</t>
  </si>
  <si>
    <t xml:space="preserve">Operating profit (EBIT) = sales x 29.36% base margin + savings kept. Savings kept = cumulative savings (377.5, 962.5, 1,000, 1,000, 1,000) x 46% flow-through. The margin is NOT grown; only the savings lift it.</t>
  </si>
  <si>
    <t xml:space="preserve">3</t>
  </si>
  <si>
    <t xml:space="preserve">NOPAT = EBIT x (1 - 24.3% tax).</t>
  </si>
  <si>
    <t xml:space="preserve">4</t>
  </si>
  <si>
    <t xml:space="preserve">Unlevered free cash flow = NOPAT + D&amp;A (3.377% of sales) - capex (7.106% of sales) - increase in working capital. Increase in working capital = (this year's sales - last year's sales) x 37.576%. FY27 uses FY26 sales of 18,505.5 as "last year", so it is 0.</t>
  </si>
  <si>
    <t xml:space="preserve">5</t>
  </si>
  <si>
    <t xml:space="preserve">WACC: cost of equity = 5.22% + 0.9601 x 5.0% = 10.02%. After-tax cost of debt = (5.22% + 1.0%) x (1 - 24.3%) = 4.71%. WACC = 70.6% x Ke + 29.4% x Kd after tax = 8.46%. Keep full decimals (debt weight 0.29395).</t>
  </si>
  <si>
    <t xml:space="preserve">6</t>
  </si>
  <si>
    <t xml:space="preserve">Discounting: valued at 30 June 2026, MID-YEAR convention (your decision, 13 Oct 2026). FY27 cash flow discounted 0.5 years, FY28 1.5 years ... FY31 4.5 years. No stub period.</t>
  </si>
  <si>
    <t xml:space="preserve">7</t>
  </si>
  <si>
    <t xml:space="preserve">Terminal value at end of FY31 (Gordon growth, g = 2%): FY32 cash flow / (WACC - 2%), then discounted 4.5 years (it moves half a year too, like the forecast years). FY32 is a steady-state year: NOPAT and D&amp;A = FY31 x 1.02; capex = FY32 sales x 6.2117% (so new investment earns 13.4%); working-capital increase = FY31 sales x 2% x 37.576%. Expected FY32 cash flow: USD 4,241m.</t>
  </si>
  <si>
    <t xml:space="preserve">8</t>
  </si>
  <si>
    <t xml:space="preserve">Enterprise value to equity (USD m): EV - net debt 20,482 - minorities (2.566% x EV) - restructuring cash 850 + associates 5,284 + disposal proceeds 3,318.3 = equity at 30 June.</t>
  </si>
  <si>
    <t xml:space="preserve">9</t>
  </si>
  <si>
    <t xml:space="preserve">Roll forward to 12 Oct 2026: equity x (1 + cost of equity)^0.2822. Divide by 2,222m shares = USD per share. Divide by 1.3234 (USD per GBP) and x 100 = pence.</t>
  </si>
  <si>
    <t xml:space="preserve">If you are more than 2% out, compare line by line on tab 3: the first line that goes red is where the difference starts. Tell me that line and I'll explain the gap.</t>
  </si>
  <si>
    <t xml:space="preserve">Common causes: leaving the terminal value at 5 years (gives about 1,566p), discounting FY27 by 0.72 years (old stub method), growing the margin, applying working capital to the level of sales instead of the change, using book minorities (2,083), or rounding WACC to 8.5% (worth about 12p).</t>
  </si>
  <si>
    <t xml:space="preserve">Input</t>
  </si>
  <si>
    <t xml:space="preserve">Value</t>
  </si>
  <si>
    <t xml:space="preserve">Units</t>
  </si>
  <si>
    <t xml:space="preserve">Source</t>
  </si>
  <si>
    <t xml:space="preserve">Base-year net sales ex-EABL (USD m)</t>
  </si>
  <si>
    <t xml:space="preserve">USD m</t>
  </si>
  <si>
    <t xml:space="preserve">Diageo Form 20-F FY26 (SEC accession 0001628280-26-057529, filed 2026-08-18) net sales 19,643 less EABL FY26 net revenue KES 145.96bn / 128.32 KES per USD = 1137.5 (EABL: non-filing source, press reports of EABL FY26 results 6 Aug 2026; FX: Yahoo KES=X FY26 average)</t>
  </si>
  <si>
    <t xml:space="preserve">Base operating margin before exceptionals</t>
  </si>
  <si>
    <t xml:space="preserve">%</t>
  </si>
  <si>
    <t xml:space="preserve">(Diageo Form 20-F FY26 (SEC accession 0001628280-26-057529, filed 2026-08-18) operating profit before exceptionals 5,683 less EABL EBIT KES 32.1bn / 128.32 = 250.2) / ex-EABL net sales</t>
  </si>
  <si>
    <t xml:space="preserve">Tax rate</t>
  </si>
  <si>
    <t xml:space="preserve">Diageo Form 20-F FY26 (SEC accession 0001628280-26-057529, filed 2026-08-18) p.22, tax rate before exceptional items FY26</t>
  </si>
  <si>
    <t xml:space="preserve">D&amp;A % of sales</t>
  </si>
  <si>
    <t xml:space="preserve">FY22-FY26 depreciation &amp; amortisation (excl. impairment) / net sales, summed over 5 years; 20-F XBRL deo:DepreciationAndIntangibleAssetAmortisationExpense and deo:NetSales</t>
  </si>
  <si>
    <t xml:space="preserve">Capex % of sales</t>
  </si>
  <si>
    <t xml:space="preserve">FY22-FY26 purchase of PP&amp;E and software / net sales, summed over 5 years; 20-F cash flow statements</t>
  </si>
  <si>
    <t xml:space="preserve">Terminal-year capex % of sales</t>
  </si>
  <si>
    <t xml:space="preserve">PM rule: return on new investment 13.4% (value driver formula, briefs/DGE.yaml)</t>
  </si>
  <si>
    <t xml:space="preserve">Net working capital % of sales</t>
  </si>
  <si>
    <t xml:space="preserve">FY26 (inventories incl. maturing 10,529 + trade &amp; other receivables 3,277 - trade &amp; other payables 6,425) / net sales 19,643; Diageo Form 20-F FY26 (SEC accession 0001628280-26-057529, filed 2026-08-18) balance sheet</t>
  </si>
  <si>
    <t xml:space="preserve">Savings flow-through</t>
  </si>
  <si>
    <t xml:space="preserve">PM assumption (briefs/DGE.yaml)</t>
  </si>
  <si>
    <t xml:space="preserve">Risk-free rate (US 10y)</t>
  </si>
  <si>
    <t xml:space="preserve">FRED DGS10 (US 10-year Treasury, constant maturity), 2026-10-08</t>
  </si>
  <si>
    <t xml:space="preserve">Equity risk premium</t>
  </si>
  <si>
    <t xml:space="preserve">Beta</t>
  </si>
  <si>
    <t xml:space="preserve">x</t>
  </si>
  <si>
    <t xml:space="preserve">Risk agent, bottom-up: Damodaran global alcoholic beverages unlevered beta 0.73 (Jan 2026, cash-corrected) relevered at Diageo D/E 0.416, tax 24.3%. See risk/beta_evidence.json</t>
  </si>
  <si>
    <t xml:space="preserve">Pre-tax cost of debt</t>
  </si>
  <si>
    <t xml:space="preserve">risk-free 5.22% + credit spread 1.00% (PM rule, briefs)</t>
  </si>
  <si>
    <t xml:space="preserve">Debt weight D/(D+E)</t>
  </si>
  <si>
    <t xml:space="preserve">net debt 20,482 / (net debt + market cap 49,196 = 2,222m shares x 1673p x 1.3234 USD/GBP)</t>
  </si>
  <si>
    <t xml:space="preserve">Terminal growth</t>
  </si>
  <si>
    <t xml:space="preserve">Years from 30 June to valuation date (equity roll-forward)</t>
  </si>
  <si>
    <t xml:space="preserve">103 days of FY27 (from 1 Jul 2026) elapsed at run date 2026-10-12 / 365</t>
  </si>
  <si>
    <t xml:space="preserve">Net debt (USD m)</t>
  </si>
  <si>
    <t xml:space="preserve">Diageo Form 20-F FY26 (SEC accession 0001628280-26-057529, filed 2026-08-18) note 17 p.187: net borrowings 20,482 (INCLUDES lease liabilities 685; EABL/RCB loans of 272 sit in liabilities held for sale)</t>
  </si>
  <si>
    <t xml:space="preserve">Minorities' share of operating profit (proportionate method; blank = use book)</t>
  </si>
  <si>
    <t xml:space="preserve">Proportionate minorities (brief: minorities_method). (Profit before exceptional operating items attributable to non-controlling interests 227, Diageo Form 20-F FY26 (SEC accession 0001628280-26-057529) p.210 ROIC table, less EABL's 35% outside shareholders x EABL EBIT 250.2 (Diageo Kenya owns 65% of EABL, 20-F p.164; EBIT as in base_margin) = 139.4) / (operating profit before exceptionals 5,683 - EABL 250.2 = 5,432.8). Simplification: assumes EABL's minorities share EABL's EBIT pro rata.</t>
  </si>
  <si>
    <t xml:space="preserve">Associates incl. Moet Hennessy (USD m)</t>
  </si>
  <si>
    <t xml:space="preserve">Diageo Form 20-F FY26 (SEC accession 0001628280-26-057529, filed 2026-08-18) note 'Investments in associates': Moet Hennessy 34% at 5,107 (carrying value tested at fair value less costs of disposal, 'sensitive' = little headroom) + others 177</t>
  </si>
  <si>
    <t xml:space="preserve">Disposal proceeds not in net debt (USD m)</t>
  </si>
  <si>
    <t xml:space="preserve">EABL + Kenyan spirits sale to Asahi c.$2.3bn (20-F p.85) + Diageo's 57.21% of USL's RCB sale INR 166.6bn = c.$1.78bn (USL/press, 24 Mar 2026); both gross, before tax and costs, not in net debt at 30 June 2026</t>
  </si>
  <si>
    <t xml:space="preserve">Restructuring cash still to pay (USD m)</t>
  </si>
  <si>
    <t xml:space="preserve">Diageo Capital Markets Day 6-K, 6 Aug 2026 (SEC accession 0001654954-26-007324): c.$800m exceptional cash costs for the operating framework + c.$50m for supply chain in FY27; FY27-29 cumulative free cash flow c.$8bn after c.$850m exceptional cash costs (also 20-F FY26 CEO letter). Pre-tax, undiscounted: any tax relief (up to c.$207m at 24.3%) is not confirmed, so not counted. Not in net debt at 30 June 2026; the forecast is before exceptionals.</t>
  </si>
  <si>
    <t xml:space="preserve">Ordinary shares (m)</t>
  </si>
  <si>
    <t xml:space="preserve">m shares</t>
  </si>
  <si>
    <t xml:space="preserve">Diageo Form 20-F FY26 (SEC accession 0001628280-26-057529, filed 2026-08-18) p.188 and XBRL: 2,432m issued - 208m treasury - 2m employee trusts (ordinary shares, NOT ADRs)</t>
  </si>
  <si>
    <t xml:space="preserve">USD per GBP</t>
  </si>
  <si>
    <t xml:space="preserve">FRED DEXUSUK (USD per GBP, noon buying rate New York), 2026-10-02</t>
  </si>
  <si>
    <t xml:space="preserve">Share price (pence)</t>
  </si>
  <si>
    <t xml:space="preserve">pence (GBp)</t>
  </si>
  <si>
    <t xml:space="preserve">Yahoo Finance DGE.L close (pence, GBp), 2026-10-12</t>
  </si>
  <si>
    <t xml:space="preserve">Organic growth FY27/FY28/FY29/FY30/FY31</t>
  </si>
  <si>
    <t xml:space="preserve">0% / 1.5% / 2.5% / 3% / 3%</t>
  </si>
  <si>
    <t xml:space="preserve">briefs/DGE.yaml: low end of management guidance (PM decision 12 Oct 2026)</t>
  </si>
  <si>
    <t xml:space="preserve">Cumulative savings FY27/FY28/FY29/FY30/FY31</t>
  </si>
  <si>
    <t xml:space="preserve">377.5 / 962.5 / 1,000 / 1,000 / 1,000</t>
  </si>
  <si>
    <t xml:space="preserve">Capital Markets Day 6-K, 6 Aug 2026 (briefs/DGE.yaml)</t>
  </si>
  <si>
    <t xml:space="preserve">Terminal return on new investment (RONIC)</t>
  </si>
  <si>
    <t xml:space="preserve">PM decision 12 Oct 2026: Diageo FY26 ROIC, 20-F FY26 KPI table. Sets terminal capex (row above)</t>
  </si>
  <si>
    <t xml:space="preserve">Zero items (no adjustment needed): pension (net surplus), leases (already in net debt), dividends between 30 June and 12 Oct (final dividend goes ex on 15 Oct).</t>
  </si>
  <si>
    <t xml:space="preserve">Line (USD m unless stated)</t>
  </si>
  <si>
    <t xml:space="preserve">Desk value</t>
  </si>
  <si>
    <t xml:space="preserve">CLAUDE'S value (tab 4)</t>
  </si>
  <si>
    <t xml:space="preserve">Gap %</t>
  </si>
  <si>
    <t xml:space="preserve">Check</t>
  </si>
  <si>
    <t xml:space="preserve">Net sales FY27</t>
  </si>
  <si>
    <t xml:space="preserve">Net sales FY28</t>
  </si>
  <si>
    <t xml:space="preserve">Net sales FY29</t>
  </si>
  <si>
    <t xml:space="preserve">Net sales FY30</t>
  </si>
  <si>
    <t xml:space="preserve">Net sales FY31</t>
  </si>
  <si>
    <t xml:space="preserve">EBIT FY27</t>
  </si>
  <si>
    <t xml:space="preserve">EBIT FY28</t>
  </si>
  <si>
    <t xml:space="preserve">EBIT FY29</t>
  </si>
  <si>
    <t xml:space="preserve">EBIT FY30</t>
  </si>
  <si>
    <t xml:space="preserve">EBIT FY31</t>
  </si>
  <si>
    <t xml:space="preserve">Unlevered FCF FY27</t>
  </si>
  <si>
    <t xml:space="preserve">Unlevered FCF FY28</t>
  </si>
  <si>
    <t xml:space="preserve">Unlevered FCF FY29</t>
  </si>
  <si>
    <t xml:space="preserve">Unlevered FCF FY30</t>
  </si>
  <si>
    <t xml:space="preserve">Unlevered FCF FY31</t>
  </si>
  <si>
    <t xml:space="preserve">Cost of equity</t>
  </si>
  <si>
    <t xml:space="preserve">WACC</t>
  </si>
  <si>
    <t xml:space="preserve">Sum of PV of FCF FY27-31</t>
  </si>
  <si>
    <t xml:space="preserve">Terminal-year (FY32) FCF</t>
  </si>
  <si>
    <t xml:space="preserve">Terminal value at end FY31 (undiscounted)</t>
  </si>
  <si>
    <t xml:space="preserve">PV of terminal value</t>
  </si>
  <si>
    <t xml:space="preserve">Enterprise value at 30 June 2026</t>
  </si>
  <si>
    <t xml:space="preserve">Minorities deducted (2.566% x EV)</t>
  </si>
  <si>
    <t xml:space="preserve">Equity value at 30 June 2026</t>
  </si>
  <si>
    <t xml:space="preserve">Equity value at 12 Oct 2026</t>
  </si>
  <si>
    <t xml:space="preserve">Value per share (USD)</t>
  </si>
  <si>
    <t xml:space="preserve">VALUE PER SHARE (pence) - the pass test</t>
  </si>
  <si>
    <t xml:space="preserve">Tolerances: 0.5% on each line (to find where a gap starts); 2% on value per share (the brief's pass test).</t>
  </si>
  <si>
    <t xml:space="preserve">Desk values: runs/DGE/2026-10-12/valuation/valuation.json (Phase 3 final, merged 13 Oct 2026).</t>
  </si>
  <si>
    <t xml:space="preserve">Independent DCF built by Claude from tab 2 only (13 Oct 2026). Every number below is an Excel formula; change an input on tab 2 and it all recalculates. Not linked to the desk's code or dcf.xlsx.</t>
  </si>
  <si>
    <t xml:space="preserve">Finance concepts are named in column A. Yellow cells are typed from tab 2 rows 25-26 (written there as text).</t>
  </si>
  <si>
    <t xml:space="preserve">FY26 base</t>
  </si>
  <si>
    <t xml:space="preserve">FY27</t>
  </si>
  <si>
    <t xml:space="preserve">FY28</t>
  </si>
  <si>
    <t xml:space="preserve">FY29</t>
  </si>
  <si>
    <t xml:space="preserve">FY30</t>
  </si>
  <si>
    <t xml:space="preserve">FY31</t>
  </si>
  <si>
    <t xml:space="preserve">FY32 (terminal)</t>
  </si>
  <si>
    <t xml:space="preserve">Organic growth</t>
  </si>
  <si>
    <t xml:space="preserve">Net sales (USD m)</t>
  </si>
  <si>
    <t xml:space="preserve">Cumulative savings run-rate (USD m)</t>
  </si>
  <si>
    <t xml:space="preserve">Savings kept in profit = savings x flow-through</t>
  </si>
  <si>
    <t xml:space="preserve">EBIT = sales x base margin + savings kept</t>
  </si>
  <si>
    <t xml:space="preserve">Tax on EBIT</t>
  </si>
  <si>
    <t xml:space="preserve">NOPAT = EBIT x (1 - tax)</t>
  </si>
  <si>
    <t xml:space="preserve">D&amp;A</t>
  </si>
  <si>
    <t xml:space="preserve">Capex</t>
  </si>
  <si>
    <t xml:space="preserve">Increase in net working capital = change in sales x NWC %</t>
  </si>
  <si>
    <t xml:space="preserve">Unlevered free cash flow = NOPAT + D&amp;A - capex - increase in NWC</t>
  </si>
  <si>
    <t xml:space="preserve">Discount period, years from 30 June 2026 (mid-year convention)</t>
  </si>
  <si>
    <t xml:space="preserve">Discount factor = 1 / (1 + WACC)^period</t>
  </si>
  <si>
    <t xml:space="preserve">PV of free cash flow</t>
  </si>
  <si>
    <t xml:space="preserve">Terminal reinvestment = g / RONIC x NOPAT (value driver formula)</t>
  </si>
  <si>
    <t xml:space="preserve">Terminal capex = D&amp;A + reinvestment - increase in NWC (derived here, not taken from the desk)</t>
  </si>
  <si>
    <t xml:space="preserve">Terminal capex as % of sales (desk input on tab 2 shown for comparison)</t>
  </si>
  <si>
    <t xml:space="preserve">Cost of equity = risk-free + beta x ERP (CAPM)</t>
  </si>
  <si>
    <t xml:space="preserve">After-tax cost of debt = pre-tax x (1 - tax)</t>
  </si>
  <si>
    <t xml:space="preserve">WACC = equity weight x Ke + debt weight x Kd after tax</t>
  </si>
  <si>
    <t xml:space="preserve">Check: debt weight from market values = net debt / (net debt + shares x price x FX)</t>
  </si>
  <si>
    <t xml:space="preserve">Sum of PV of free cash flow FY27-31</t>
  </si>
  <si>
    <t xml:space="preserve">Terminal value at end FY31 = FY32 FCF / (WACC - g) (Gordon growth)</t>
  </si>
  <si>
    <t xml:space="preserve">PV of terminal value, discounted 4.5 years (mid-year: the perpetuity also arrives mid-year)</t>
  </si>
  <si>
    <t xml:space="preserve">Minorities (proportionate) = share of operating profit x EV</t>
  </si>
  <si>
    <t xml:space="preserve">Equity value at 30 June = EV - net debt - minorities - restructuring cash + associates + disposal proceeds</t>
  </si>
  <si>
    <t xml:space="preserve">Equity value at 12 Oct 2026 = rolled forward at the cost of equity</t>
  </si>
  <si>
    <t xml:space="preserve">VALUE PER SHARE (pence) = USD / (USD per GBP) x 100</t>
  </si>
  <si>
    <t xml:space="preserve">Upside vs share price</t>
  </si>
  <si>
    <t xml:space="preserve">Rating rule: BUY if &gt;= +15%, SELL if &lt;= -10%, else HOLD</t>
  </si>
  <si>
    <t xml:space="preserve">Cross-check: same model with END-OF-YEAR discounting (Phase 3 basis, should be about 1,544.8p)</t>
  </si>
  <si>
    <t xml:space="preserve">Terminal value share of EV</t>
  </si>
  <si>
    <t xml:space="preserve">Implied exit multiple = terminal value / FY31 EBITDA</t>
  </si>
</sst>
</file>

<file path=xl/styles.xml><?xml version="1.0" encoding="utf-8"?>
<styleSheet xmlns="http://schemas.openxmlformats.org/spreadsheetml/2006/main">
  <numFmts count="10">
    <numFmt numFmtId="164" formatCode="General"/>
    <numFmt numFmtId="165" formatCode="0.000%"/>
    <numFmt numFmtId="166" formatCode="0.0%"/>
    <numFmt numFmtId="167" formatCode="0.0"/>
    <numFmt numFmtId="168" formatCode="0.00%"/>
    <numFmt numFmtId="169" formatCode="0.000"/>
    <numFmt numFmtId="170" formatCode="#,##0.0"/>
    <numFmt numFmtId="171" formatCode="0.0000"/>
    <numFmt numFmtId="172" formatCode="0.0000%"/>
    <numFmt numFmtId="173" formatCode="0.0\x"/>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1"/>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3"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70" fontId="0" fillId="3"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4CC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0"/>
  </cols>
  <sheetData>
    <row r="1" customFormat="false" ht="17.35" hidden="false" customHeight="false" outlineLevel="0" collapsed="false">
      <c r="B1" s="1" t="s">
        <v>0</v>
      </c>
    </row>
    <row r="2" customFormat="false" ht="15" hidden="false" customHeight="false" outlineLevel="0" collapsed="false">
      <c r="B2" s="0" t="s">
        <v>1</v>
      </c>
    </row>
    <row r="4" customFormat="false" ht="30" hidden="false" customHeight="true" outlineLevel="0" collapsed="false">
      <c r="A4" s="2"/>
      <c r="B4" s="2" t="s">
        <v>2</v>
      </c>
    </row>
    <row r="5" customFormat="false" ht="30" hidden="false" customHeight="true" outlineLevel="0" collapsed="false">
      <c r="A5" s="2"/>
      <c r="B5" s="2" t="s">
        <v>3</v>
      </c>
    </row>
    <row r="6" customFormat="false" ht="30" hidden="false" customHeight="true" outlineLevel="0" collapsed="false">
      <c r="A6" s="2" t="s">
        <v>4</v>
      </c>
      <c r="B6" s="2" t="s">
        <v>5</v>
      </c>
    </row>
    <row r="7" customFormat="false" ht="30" hidden="false" customHeight="true" outlineLevel="0" collapsed="false">
      <c r="A7" s="2" t="s">
        <v>6</v>
      </c>
      <c r="B7" s="2" t="s">
        <v>7</v>
      </c>
    </row>
    <row r="8" customFormat="false" ht="18" hidden="false" customHeight="true" outlineLevel="0" collapsed="false">
      <c r="A8" s="2" t="s">
        <v>8</v>
      </c>
      <c r="B8" s="2" t="s">
        <v>9</v>
      </c>
    </row>
    <row r="9" customFormat="false" ht="45" hidden="false" customHeight="true" outlineLevel="0" collapsed="false">
      <c r="A9" s="2" t="s">
        <v>10</v>
      </c>
      <c r="B9" s="2" t="s">
        <v>11</v>
      </c>
    </row>
    <row r="10" customFormat="false" ht="30" hidden="false" customHeight="true" outlineLevel="0" collapsed="false">
      <c r="A10" s="2" t="s">
        <v>12</v>
      </c>
      <c r="B10" s="2" t="s">
        <v>13</v>
      </c>
    </row>
    <row r="11" customFormat="false" ht="30" hidden="false" customHeight="true" outlineLevel="0" collapsed="false">
      <c r="A11" s="2" t="s">
        <v>14</v>
      </c>
      <c r="B11" s="2" t="s">
        <v>15</v>
      </c>
    </row>
    <row r="12" customFormat="false" ht="60" hidden="false" customHeight="true" outlineLevel="0" collapsed="false">
      <c r="A12" s="2" t="s">
        <v>16</v>
      </c>
      <c r="B12" s="2" t="s">
        <v>17</v>
      </c>
    </row>
    <row r="13" customFormat="false" ht="30" hidden="false" customHeight="true" outlineLevel="0" collapsed="false">
      <c r="A13" s="2" t="s">
        <v>18</v>
      </c>
      <c r="B13" s="2" t="s">
        <v>19</v>
      </c>
    </row>
    <row r="14" customFormat="false" ht="30" hidden="false" customHeight="true" outlineLevel="0" collapsed="false">
      <c r="A14" s="2" t="s">
        <v>20</v>
      </c>
      <c r="B14" s="2" t="s">
        <v>21</v>
      </c>
    </row>
    <row r="15" customFormat="false" ht="18" hidden="false" customHeight="true" outlineLevel="0" collapsed="false">
      <c r="A15" s="2"/>
      <c r="B15" s="2"/>
    </row>
    <row r="16" customFormat="false" ht="30" hidden="false" customHeight="true" outlineLevel="0" collapsed="false">
      <c r="A16" s="2"/>
      <c r="B16" s="2" t="s">
        <v>22</v>
      </c>
    </row>
    <row r="17" customFormat="false" ht="45" hidden="false" customHeight="true" outlineLevel="0" collapsed="false">
      <c r="A17" s="2"/>
      <c r="B17"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4"/>
    <col collapsed="false" customWidth="true" hidden="false" outlineLevel="0" max="4" min="4" style="0" width="110"/>
  </cols>
  <sheetData>
    <row r="1" customFormat="false" ht="15" hidden="false" customHeight="false" outlineLevel="0" collapsed="false">
      <c r="A1" s="3" t="s">
        <v>24</v>
      </c>
      <c r="B1" s="3" t="s">
        <v>25</v>
      </c>
      <c r="C1" s="3" t="s">
        <v>26</v>
      </c>
      <c r="D1" s="3" t="s">
        <v>27</v>
      </c>
    </row>
    <row r="2" customFormat="false" ht="41.75" hidden="false" customHeight="false" outlineLevel="0" collapsed="false">
      <c r="A2" s="0" t="s">
        <v>28</v>
      </c>
      <c r="B2" s="0" t="n">
        <v>18505.5</v>
      </c>
      <c r="C2" s="0" t="s">
        <v>29</v>
      </c>
      <c r="D2" s="2" t="s">
        <v>30</v>
      </c>
    </row>
    <row r="3" customFormat="false" ht="28.35" hidden="false" customHeight="false" outlineLevel="0" collapsed="false">
      <c r="A3" s="0" t="s">
        <v>31</v>
      </c>
      <c r="B3" s="4" t="n">
        <v>0.29358</v>
      </c>
      <c r="C3" s="5" t="s">
        <v>32</v>
      </c>
      <c r="D3" s="2" t="s">
        <v>33</v>
      </c>
    </row>
    <row r="4" customFormat="false" ht="15" hidden="false" customHeight="false" outlineLevel="0" collapsed="false">
      <c r="A4" s="0" t="s">
        <v>34</v>
      </c>
      <c r="B4" s="4" t="n">
        <v>0.243</v>
      </c>
      <c r="C4" s="5" t="s">
        <v>32</v>
      </c>
      <c r="D4" s="2" t="s">
        <v>35</v>
      </c>
    </row>
    <row r="5" customFormat="false" ht="28.35" hidden="false" customHeight="false" outlineLevel="0" collapsed="false">
      <c r="A5" s="0" t="s">
        <v>36</v>
      </c>
      <c r="B5" s="4" t="n">
        <v>0.03377</v>
      </c>
      <c r="C5" s="5" t="s">
        <v>32</v>
      </c>
      <c r="D5" s="2" t="s">
        <v>37</v>
      </c>
    </row>
    <row r="6" customFormat="false" ht="15" hidden="false" customHeight="false" outlineLevel="0" collapsed="false">
      <c r="A6" s="0" t="s">
        <v>38</v>
      </c>
      <c r="B6" s="4" t="n">
        <v>0.07106</v>
      </c>
      <c r="C6" s="5" t="s">
        <v>32</v>
      </c>
      <c r="D6" s="2" t="s">
        <v>39</v>
      </c>
    </row>
    <row r="7" customFormat="false" ht="15" hidden="false" customHeight="false" outlineLevel="0" collapsed="false">
      <c r="A7" s="0" t="s">
        <v>40</v>
      </c>
      <c r="B7" s="4" t="n">
        <v>0.0621168811169126</v>
      </c>
      <c r="C7" s="5" t="s">
        <v>32</v>
      </c>
      <c r="D7" s="2" t="s">
        <v>41</v>
      </c>
    </row>
    <row r="8" customFormat="false" ht="28.35" hidden="false" customHeight="false" outlineLevel="0" collapsed="false">
      <c r="A8" s="0" t="s">
        <v>42</v>
      </c>
      <c r="B8" s="4" t="n">
        <v>0.37576</v>
      </c>
      <c r="C8" s="5" t="s">
        <v>32</v>
      </c>
      <c r="D8" s="2" t="s">
        <v>43</v>
      </c>
    </row>
    <row r="9" customFormat="false" ht="15" hidden="false" customHeight="false" outlineLevel="0" collapsed="false">
      <c r="A9" s="0" t="s">
        <v>44</v>
      </c>
      <c r="B9" s="4" t="n">
        <v>0.46</v>
      </c>
      <c r="C9" s="5" t="s">
        <v>32</v>
      </c>
      <c r="D9" s="2" t="s">
        <v>45</v>
      </c>
    </row>
    <row r="10" customFormat="false" ht="15" hidden="false" customHeight="false" outlineLevel="0" collapsed="false">
      <c r="A10" s="0" t="s">
        <v>46</v>
      </c>
      <c r="B10" s="4" t="n">
        <v>0.0522</v>
      </c>
      <c r="C10" s="5" t="s">
        <v>32</v>
      </c>
      <c r="D10" s="2" t="s">
        <v>47</v>
      </c>
    </row>
    <row r="11" customFormat="false" ht="15" hidden="false" customHeight="false" outlineLevel="0" collapsed="false">
      <c r="A11" s="0" t="s">
        <v>48</v>
      </c>
      <c r="B11" s="4" t="n">
        <v>0.05</v>
      </c>
      <c r="C11" s="5" t="s">
        <v>32</v>
      </c>
      <c r="D11" s="2" t="s">
        <v>45</v>
      </c>
    </row>
    <row r="12" customFormat="false" ht="28.35" hidden="false" customHeight="false" outlineLevel="0" collapsed="false">
      <c r="A12" s="0" t="s">
        <v>49</v>
      </c>
      <c r="B12" s="0" t="n">
        <v>0.9601</v>
      </c>
      <c r="C12" s="0" t="s">
        <v>50</v>
      </c>
      <c r="D12" s="2" t="s">
        <v>51</v>
      </c>
    </row>
    <row r="13" customFormat="false" ht="15" hidden="false" customHeight="false" outlineLevel="0" collapsed="false">
      <c r="A13" s="0" t="s">
        <v>52</v>
      </c>
      <c r="B13" s="4" t="n">
        <v>0.0622</v>
      </c>
      <c r="C13" s="5" t="s">
        <v>32</v>
      </c>
      <c r="D13" s="2" t="s">
        <v>53</v>
      </c>
    </row>
    <row r="14" customFormat="false" ht="15" hidden="false" customHeight="false" outlineLevel="0" collapsed="false">
      <c r="A14" s="0" t="s">
        <v>54</v>
      </c>
      <c r="B14" s="4" t="n">
        <v>0.29395</v>
      </c>
      <c r="C14" s="5" t="s">
        <v>32</v>
      </c>
      <c r="D14" s="2" t="s">
        <v>55</v>
      </c>
    </row>
    <row r="15" customFormat="false" ht="15" hidden="false" customHeight="false" outlineLevel="0" collapsed="false">
      <c r="A15" s="0" t="s">
        <v>56</v>
      </c>
      <c r="B15" s="4" t="n">
        <v>0.02</v>
      </c>
      <c r="C15" s="5" t="s">
        <v>32</v>
      </c>
      <c r="D15" s="2" t="s">
        <v>45</v>
      </c>
    </row>
    <row r="16" customFormat="false" ht="15" hidden="false" customHeight="false" outlineLevel="0" collapsed="false">
      <c r="A16" s="0" t="s">
        <v>57</v>
      </c>
      <c r="B16" s="0" t="n">
        <v>0.2822</v>
      </c>
      <c r="D16" s="2" t="s">
        <v>58</v>
      </c>
    </row>
    <row r="17" customFormat="false" ht="28.35" hidden="false" customHeight="false" outlineLevel="0" collapsed="false">
      <c r="A17" s="0" t="s">
        <v>59</v>
      </c>
      <c r="B17" s="0" t="n">
        <v>20482</v>
      </c>
      <c r="C17" s="0" t="s">
        <v>29</v>
      </c>
      <c r="D17" s="2" t="s">
        <v>60</v>
      </c>
    </row>
    <row r="18" customFormat="false" ht="55.2" hidden="false" customHeight="false" outlineLevel="0" collapsed="false">
      <c r="A18" s="0" t="s">
        <v>61</v>
      </c>
      <c r="B18" s="4" t="n">
        <v>0.02566</v>
      </c>
      <c r="C18" s="5" t="s">
        <v>32</v>
      </c>
      <c r="D18" s="2" t="s">
        <v>62</v>
      </c>
    </row>
    <row r="19" customFormat="false" ht="28.35" hidden="false" customHeight="false" outlineLevel="0" collapsed="false">
      <c r="A19" s="0" t="s">
        <v>63</v>
      </c>
      <c r="B19" s="0" t="n">
        <v>5284</v>
      </c>
      <c r="C19" s="0" t="s">
        <v>29</v>
      </c>
      <c r="D19" s="2" t="s">
        <v>64</v>
      </c>
    </row>
    <row r="20" customFormat="false" ht="28.35" hidden="false" customHeight="false" outlineLevel="0" collapsed="false">
      <c r="A20" s="0" t="s">
        <v>65</v>
      </c>
      <c r="B20" s="0" t="n">
        <v>3318.3</v>
      </c>
      <c r="C20" s="0" t="s">
        <v>29</v>
      </c>
      <c r="D20" s="2" t="s">
        <v>66</v>
      </c>
    </row>
    <row r="21" customFormat="false" ht="55.2" hidden="false" customHeight="false" outlineLevel="0" collapsed="false">
      <c r="A21" s="0" t="s">
        <v>67</v>
      </c>
      <c r="B21" s="0" t="n">
        <v>850</v>
      </c>
      <c r="C21" s="0" t="s">
        <v>29</v>
      </c>
      <c r="D21" s="2" t="s">
        <v>68</v>
      </c>
    </row>
    <row r="22" customFormat="false" ht="28.35" hidden="false" customHeight="false" outlineLevel="0" collapsed="false">
      <c r="A22" s="0" t="s">
        <v>69</v>
      </c>
      <c r="B22" s="0" t="n">
        <v>2222</v>
      </c>
      <c r="C22" s="0" t="s">
        <v>70</v>
      </c>
      <c r="D22" s="2" t="s">
        <v>71</v>
      </c>
    </row>
    <row r="23" customFormat="false" ht="15" hidden="false" customHeight="false" outlineLevel="0" collapsed="false">
      <c r="A23" s="0" t="s">
        <v>72</v>
      </c>
      <c r="B23" s="0" t="n">
        <v>1.3234</v>
      </c>
      <c r="C23" s="0" t="s">
        <v>72</v>
      </c>
      <c r="D23" s="2" t="s">
        <v>73</v>
      </c>
    </row>
    <row r="24" customFormat="false" ht="15" hidden="false" customHeight="false" outlineLevel="0" collapsed="false">
      <c r="A24" s="0" t="s">
        <v>74</v>
      </c>
      <c r="B24" s="0" t="n">
        <v>1673</v>
      </c>
      <c r="C24" s="0" t="s">
        <v>75</v>
      </c>
      <c r="D24" s="2" t="s">
        <v>76</v>
      </c>
    </row>
    <row r="25" customFormat="false" ht="15" hidden="false" customHeight="false" outlineLevel="0" collapsed="false">
      <c r="A25" s="0" t="s">
        <v>77</v>
      </c>
      <c r="B25" s="6" t="s">
        <v>78</v>
      </c>
      <c r="C25" s="5" t="s">
        <v>32</v>
      </c>
      <c r="D25" s="2" t="s">
        <v>79</v>
      </c>
    </row>
    <row r="26" customFormat="false" ht="15" hidden="false" customHeight="false" outlineLevel="0" collapsed="false">
      <c r="A26" s="0" t="s">
        <v>80</v>
      </c>
      <c r="B26" s="0" t="s">
        <v>81</v>
      </c>
      <c r="C26" s="0" t="s">
        <v>29</v>
      </c>
      <c r="D26" s="2" t="s">
        <v>82</v>
      </c>
    </row>
    <row r="27" customFormat="false" ht="15" hidden="false" customHeight="false" outlineLevel="0" collapsed="false">
      <c r="A27" s="0" t="s">
        <v>83</v>
      </c>
      <c r="B27" s="6" t="n">
        <v>0.134</v>
      </c>
      <c r="C27" s="5" t="s">
        <v>32</v>
      </c>
      <c r="D27" s="2" t="s">
        <v>84</v>
      </c>
    </row>
    <row r="29" customFormat="false" ht="55.2" hidden="false" customHeight="false" outlineLevel="0" collapsed="false">
      <c r="A29" s="2"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10"/>
    <col collapsed="false" customWidth="true" hidden="false" outlineLevel="0" max="5" min="5" style="0" width="40"/>
  </cols>
  <sheetData>
    <row r="1" customFormat="false" ht="28.35" hidden="false" customHeight="false" outlineLevel="0" collapsed="false">
      <c r="A1" s="3" t="s">
        <v>86</v>
      </c>
      <c r="B1" s="3" t="s">
        <v>87</v>
      </c>
      <c r="C1" s="3" t="s">
        <v>88</v>
      </c>
      <c r="D1" s="3" t="s">
        <v>89</v>
      </c>
      <c r="E1" s="3" t="s">
        <v>90</v>
      </c>
    </row>
    <row r="2" customFormat="false" ht="15" hidden="false" customHeight="false" outlineLevel="0" collapsed="false">
      <c r="A2" s="0" t="s">
        <v>91</v>
      </c>
      <c r="B2" s="7" t="n">
        <v>18505.5</v>
      </c>
      <c r="C2" s="8" t="n">
        <f aca="false">'4 Claude model'!C6</f>
        <v>18505.5</v>
      </c>
      <c r="D2" s="9" t="n">
        <f aca="false">IF(C2="","",C2/B2-1)</f>
        <v>0</v>
      </c>
      <c r="E2" s="0" t="str">
        <f aca="false">IF(C2="","",IF(ABS(D2)&lt;=0.005,"OK","Gap: look here first" ))</f>
        <v>OK</v>
      </c>
    </row>
    <row r="3" customFormat="false" ht="15" hidden="false" customHeight="false" outlineLevel="0" collapsed="false">
      <c r="A3" s="0" t="s">
        <v>92</v>
      </c>
      <c r="B3" s="7" t="n">
        <v>18783.0825</v>
      </c>
      <c r="C3" s="8" t="n">
        <f aca="false">'4 Claude model'!D6</f>
        <v>18783.0825</v>
      </c>
      <c r="D3" s="9" t="n">
        <f aca="false">IF(C3="","",C3/B3-1)</f>
        <v>0</v>
      </c>
      <c r="E3" s="0" t="str">
        <f aca="false">IF(C3="","",IF(ABS(D3)&lt;=0.005,"OK","Gap: look here first" ))</f>
        <v>OK</v>
      </c>
    </row>
    <row r="4" customFormat="false" ht="15" hidden="false" customHeight="false" outlineLevel="0" collapsed="false">
      <c r="A4" s="0" t="s">
        <v>93</v>
      </c>
      <c r="B4" s="7" t="n">
        <v>19252.6595625</v>
      </c>
      <c r="C4" s="8" t="n">
        <f aca="false">'4 Claude model'!E6</f>
        <v>19252.6595625</v>
      </c>
      <c r="D4" s="9" t="n">
        <f aca="false">IF(C4="","",C4/B4-1)</f>
        <v>0</v>
      </c>
      <c r="E4" s="0" t="str">
        <f aca="false">IF(C4="","",IF(ABS(D4)&lt;=0.005,"OK","Gap: look here first" ))</f>
        <v>OK</v>
      </c>
    </row>
    <row r="5" customFormat="false" ht="15" hidden="false" customHeight="false" outlineLevel="0" collapsed="false">
      <c r="A5" s="0" t="s">
        <v>94</v>
      </c>
      <c r="B5" s="7" t="n">
        <v>19830.239349375</v>
      </c>
      <c r="C5" s="8" t="n">
        <f aca="false">'4 Claude model'!F6</f>
        <v>19830.239349375</v>
      </c>
      <c r="D5" s="9" t="n">
        <f aca="false">IF(C5="","",C5/B5-1)</f>
        <v>0</v>
      </c>
      <c r="E5" s="0" t="str">
        <f aca="false">IF(C5="","",IF(ABS(D5)&lt;=0.005,"OK","Gap: look here first" ))</f>
        <v>OK</v>
      </c>
    </row>
    <row r="6" customFormat="false" ht="15" hidden="false" customHeight="false" outlineLevel="0" collapsed="false">
      <c r="A6" s="0" t="s">
        <v>95</v>
      </c>
      <c r="B6" s="7" t="n">
        <v>20425.1465298563</v>
      </c>
      <c r="C6" s="8" t="n">
        <f aca="false">'4 Claude model'!G6</f>
        <v>20425.1465298562</v>
      </c>
      <c r="D6" s="9" t="n">
        <f aca="false">IF(C6="","",C6/B6-1)</f>
        <v>0</v>
      </c>
      <c r="E6" s="0" t="str">
        <f aca="false">IF(C6="","",IF(ABS(D6)&lt;=0.005,"OK","Gap: look here first" ))</f>
        <v>OK</v>
      </c>
    </row>
    <row r="7" customFormat="false" ht="15" hidden="false" customHeight="false" outlineLevel="0" collapsed="false">
      <c r="A7" s="0" t="s">
        <v>96</v>
      </c>
      <c r="B7" s="7" t="n">
        <v>5606.49469</v>
      </c>
      <c r="C7" s="8" t="n">
        <f aca="false">'4 Claude model'!C9</f>
        <v>5606.49469</v>
      </c>
      <c r="D7" s="9" t="n">
        <f aca="false">IF(C7="","",C7/B7-1)</f>
        <v>0</v>
      </c>
      <c r="E7" s="0" t="str">
        <f aca="false">IF(C7="","",IF(ABS(D7)&lt;=0.005,"OK","Gap: look here first" ))</f>
        <v>OK</v>
      </c>
    </row>
    <row r="8" customFormat="false" ht="15" hidden="false" customHeight="false" outlineLevel="0" collapsed="false">
      <c r="A8" s="0" t="s">
        <v>97</v>
      </c>
      <c r="B8" s="7" t="n">
        <v>5957.08736035</v>
      </c>
      <c r="C8" s="8" t="n">
        <f aca="false">'4 Claude model'!D9</f>
        <v>5957.08736035</v>
      </c>
      <c r="D8" s="9" t="n">
        <f aca="false">IF(C8="","",C8/B8-1)</f>
        <v>0</v>
      </c>
      <c r="E8" s="0" t="str">
        <f aca="false">IF(C8="","",IF(ABS(D8)&lt;=0.005,"OK","Gap: look here first" ))</f>
        <v>OK</v>
      </c>
    </row>
    <row r="9" customFormat="false" ht="15" hidden="false" customHeight="false" outlineLevel="0" collapsed="false">
      <c r="A9" s="0" t="s">
        <v>98</v>
      </c>
      <c r="B9" s="7" t="n">
        <v>6112.19579435875</v>
      </c>
      <c r="C9" s="8" t="n">
        <f aca="false">'4 Claude model'!E9</f>
        <v>6112.19579435875</v>
      </c>
      <c r="D9" s="9" t="n">
        <f aca="false">IF(C9="","",C9/B9-1)</f>
        <v>0</v>
      </c>
      <c r="E9" s="0" t="str">
        <f aca="false">IF(C9="","",IF(ABS(D9)&lt;=0.005,"OK","Gap: look here first" ))</f>
        <v>OK</v>
      </c>
    </row>
    <row r="10" customFormat="false" ht="15" hidden="false" customHeight="false" outlineLevel="0" collapsed="false">
      <c r="A10" s="0" t="s">
        <v>99</v>
      </c>
      <c r="B10" s="7" t="n">
        <v>6281.76166818951</v>
      </c>
      <c r="C10" s="8" t="n">
        <f aca="false">'4 Claude model'!F9</f>
        <v>6281.76166818951</v>
      </c>
      <c r="D10" s="9" t="n">
        <f aca="false">IF(C10="","",C10/B10-1)</f>
        <v>0</v>
      </c>
      <c r="E10" s="0" t="str">
        <f aca="false">IF(C10="","",IF(ABS(D10)&lt;=0.005,"OK","Gap: look here first" ))</f>
        <v>OK</v>
      </c>
    </row>
    <row r="11" customFormat="false" ht="15" hidden="false" customHeight="false" outlineLevel="0" collapsed="false">
      <c r="A11" s="0" t="s">
        <v>100</v>
      </c>
      <c r="B11" s="7" t="n">
        <v>6456.4145182352</v>
      </c>
      <c r="C11" s="8" t="n">
        <f aca="false">'4 Claude model'!G9</f>
        <v>6456.4145182352</v>
      </c>
      <c r="D11" s="9" t="n">
        <f aca="false">IF(C11="","",C11/B11-1)</f>
        <v>0</v>
      </c>
      <c r="E11" s="0" t="str">
        <f aca="false">IF(C11="","",IF(ABS(D11)&lt;=0.005,"OK","Gap: look here first" ))</f>
        <v>OK</v>
      </c>
    </row>
    <row r="12" customFormat="false" ht="15" hidden="false" customHeight="false" outlineLevel="0" collapsed="false">
      <c r="A12" s="0" t="s">
        <v>101</v>
      </c>
      <c r="B12" s="7" t="n">
        <v>3554.04638533</v>
      </c>
      <c r="C12" s="8" t="n">
        <f aca="false">'4 Claude model'!C15</f>
        <v>3554.04638533</v>
      </c>
      <c r="D12" s="9" t="n">
        <f aca="false">IF(C12="","",C12/B12-1)</f>
        <v>0</v>
      </c>
      <c r="E12" s="0" t="str">
        <f aca="false">IF(C12="","",IF(ABS(D12)&lt;=0.005,"OK","Gap: look here first" ))</f>
        <v>OK</v>
      </c>
    </row>
    <row r="13" customFormat="false" ht="15" hidden="false" customHeight="false" outlineLevel="0" collapsed="false">
      <c r="A13" s="0" t="s">
        <v>102</v>
      </c>
      <c r="B13" s="7" t="n">
        <v>3704.78958515995</v>
      </c>
      <c r="C13" s="8" t="n">
        <f aca="false">'4 Claude model'!D15</f>
        <v>3704.78958515995</v>
      </c>
      <c r="D13" s="9" t="n">
        <f aca="false">IF(C13="","",C13/B13-1)</f>
        <v>0</v>
      </c>
      <c r="E13" s="0" t="str">
        <f aca="false">IF(C13="","",IF(ABS(D13)&lt;=0.005,"OK","Gap: look here first" ))</f>
        <v>OK</v>
      </c>
    </row>
    <row r="14" customFormat="false" ht="15" hidden="false" customHeight="false" outlineLevel="0" collapsed="false">
      <c r="A14" s="0" t="s">
        <v>103</v>
      </c>
      <c r="B14" s="7" t="n">
        <v>3732.55226423895</v>
      </c>
      <c r="C14" s="8" t="n">
        <f aca="false">'4 Claude model'!E15</f>
        <v>3732.55226423895</v>
      </c>
      <c r="D14" s="9" t="n">
        <f aca="false">IF(C14="","",C14/B14-1)</f>
        <v>0</v>
      </c>
      <c r="E14" s="0" t="str">
        <f aca="false">IF(C14="","",IF(ABS(D14)&lt;=0.005,"OK","Gap: look here first" ))</f>
        <v>OK</v>
      </c>
    </row>
    <row r="15" customFormat="false" ht="15" hidden="false" customHeight="false" outlineLevel="0" collapsed="false">
      <c r="A15" s="0" t="s">
        <v>104</v>
      </c>
      <c r="B15" s="7" t="n">
        <v>3798.79257676512</v>
      </c>
      <c r="C15" s="8" t="n">
        <f aca="false">'4 Claude model'!F15</f>
        <v>3798.79257676512</v>
      </c>
      <c r="D15" s="9" t="n">
        <f aca="false">IF(C15="","",C15/B15-1)</f>
        <v>0</v>
      </c>
      <c r="E15" s="0" t="str">
        <f aca="false">IF(C15="","",IF(ABS(D15)&lt;=0.005,"OK","Gap: look here first" ))</f>
        <v>OK</v>
      </c>
    </row>
    <row r="16" customFormat="false" ht="15" hidden="false" customHeight="false" outlineLevel="0" collapsed="false">
      <c r="A16" s="0" t="s">
        <v>105</v>
      </c>
      <c r="B16" s="7" t="n">
        <v>3902.30975406807</v>
      </c>
      <c r="C16" s="8" t="n">
        <f aca="false">'4 Claude model'!G15</f>
        <v>3902.30975406807</v>
      </c>
      <c r="D16" s="9" t="n">
        <f aca="false">IF(C16="","",C16/B16-1)</f>
        <v>0</v>
      </c>
      <c r="E16" s="0" t="str">
        <f aca="false">IF(C16="","",IF(ABS(D16)&lt;=0.005,"OK","Gap: look here first" ))</f>
        <v>OK</v>
      </c>
    </row>
    <row r="17" customFormat="false" ht="15" hidden="false" customHeight="false" outlineLevel="0" collapsed="false">
      <c r="A17" s="0" t="s">
        <v>106</v>
      </c>
      <c r="B17" s="9" t="n">
        <v>0.100205</v>
      </c>
      <c r="C17" s="10" t="n">
        <f aca="false">'4 Claude model'!B23</f>
        <v>0.100205</v>
      </c>
      <c r="D17" s="9" t="n">
        <f aca="false">IF(C17="","",C17/B17-1)</f>
        <v>0</v>
      </c>
      <c r="E17" s="0" t="str">
        <f aca="false">IF(C17="","",IF(ABS(D17)&lt;=0.005,"OK","Gap: look here first" ))</f>
        <v>OK</v>
      </c>
    </row>
    <row r="18" customFormat="false" ht="15" hidden="false" customHeight="false" outlineLevel="0" collapsed="false">
      <c r="A18" s="0" t="s">
        <v>107</v>
      </c>
      <c r="B18" s="9" t="n">
        <v>0.08459049358</v>
      </c>
      <c r="C18" s="10" t="n">
        <f aca="false">'4 Claude model'!B25</f>
        <v>0.08459049358</v>
      </c>
      <c r="D18" s="9" t="n">
        <f aca="false">IF(C18="","",C18/B18-1)</f>
        <v>0</v>
      </c>
      <c r="E18" s="0" t="str">
        <f aca="false">IF(C18="","",IF(ABS(D18)&lt;=0.005,"OK","Gap: look here first" ))</f>
        <v>OK</v>
      </c>
    </row>
    <row r="19" customFormat="false" ht="15" hidden="false" customHeight="false" outlineLevel="0" collapsed="false">
      <c r="A19" s="0" t="s">
        <v>108</v>
      </c>
      <c r="B19" s="7" t="n">
        <v>15306.2163398978</v>
      </c>
      <c r="C19" s="8" t="n">
        <f aca="false">'4 Claude model'!B27</f>
        <v>15306.2163398978</v>
      </c>
      <c r="D19" s="9" t="n">
        <f aca="false">IF(C19="","",C19/B19-1)</f>
        <v>0</v>
      </c>
      <c r="E19" s="0" t="str">
        <f aca="false">IF(C19="","",IF(ABS(D19)&lt;=0.005,"OK","Gap: look here first" ))</f>
        <v>OK</v>
      </c>
    </row>
    <row r="20" customFormat="false" ht="15" hidden="false" customHeight="false" outlineLevel="0" collapsed="false">
      <c r="A20" s="0" t="s">
        <v>109</v>
      </c>
      <c r="B20" s="7" t="n">
        <v>4241.18786042205</v>
      </c>
      <c r="C20" s="8" t="n">
        <f aca="false">'4 Claude model'!H15</f>
        <v>4241.18786042205</v>
      </c>
      <c r="D20" s="9" t="n">
        <f aca="false">IF(C20="","",C20/B20-1)</f>
        <v>0</v>
      </c>
      <c r="E20" s="0" t="str">
        <f aca="false">IF(C20="","",IF(ABS(D20)&lt;=0.005,"OK","Gap: look here first" ))</f>
        <v>OK</v>
      </c>
    </row>
    <row r="21" customFormat="false" ht="15" hidden="false" customHeight="false" outlineLevel="0" collapsed="false">
      <c r="A21" s="0" t="s">
        <v>110</v>
      </c>
      <c r="B21" s="7" t="n">
        <v>65662.7256636308</v>
      </c>
      <c r="C21" s="8" t="n">
        <f aca="false">'4 Claude model'!B28</f>
        <v>65662.7256636308</v>
      </c>
      <c r="D21" s="9" t="n">
        <f aca="false">IF(C21="","",C21/B21-1)</f>
        <v>0</v>
      </c>
      <c r="E21" s="0" t="str">
        <f aca="false">IF(C21="","",IF(ABS(D21)&lt;=0.005,"OK","Gap: look here first" ))</f>
        <v>OK</v>
      </c>
    </row>
    <row r="22" customFormat="false" ht="15" hidden="false" customHeight="false" outlineLevel="0" collapsed="false">
      <c r="A22" s="0" t="s">
        <v>111</v>
      </c>
      <c r="B22" s="7" t="n">
        <v>45564.1041050635</v>
      </c>
      <c r="C22" s="8" t="n">
        <f aca="false">'4 Claude model'!B29</f>
        <v>45564.1041050635</v>
      </c>
      <c r="D22" s="9" t="n">
        <f aca="false">IF(C22="","",C22/B22-1)</f>
        <v>0</v>
      </c>
      <c r="E22" s="0" t="str">
        <f aca="false">IF(C22="","",IF(ABS(D22)&lt;=0.005,"OK","Gap: look here first" ))</f>
        <v>OK</v>
      </c>
    </row>
    <row r="23" customFormat="false" ht="15" hidden="false" customHeight="false" outlineLevel="0" collapsed="false">
      <c r="A23" s="0" t="s">
        <v>112</v>
      </c>
      <c r="B23" s="7" t="n">
        <v>60870.3204449613</v>
      </c>
      <c r="C23" s="8" t="n">
        <f aca="false">'4 Claude model'!B30</f>
        <v>60870.3204449613</v>
      </c>
      <c r="D23" s="9" t="n">
        <f aca="false">IF(C23="","",C23/B23-1)</f>
        <v>0</v>
      </c>
      <c r="E23" s="0" t="str">
        <f aca="false">IF(C23="","",IF(ABS(D23)&lt;=0.005,"OK","Gap: look here first" ))</f>
        <v>OK</v>
      </c>
    </row>
    <row r="24" customFormat="false" ht="15" hidden="false" customHeight="false" outlineLevel="0" collapsed="false">
      <c r="A24" s="0" t="s">
        <v>113</v>
      </c>
      <c r="B24" s="7" t="n">
        <v>1561.93242261771</v>
      </c>
      <c r="C24" s="8" t="n">
        <f aca="false">'4 Claude model'!B31</f>
        <v>1561.93242261771</v>
      </c>
      <c r="D24" s="9" t="n">
        <f aca="false">IF(C24="","",C24/B24-1)</f>
        <v>0</v>
      </c>
      <c r="E24" s="0" t="str">
        <f aca="false">IF(C24="","",IF(ABS(D24)&lt;=0.005,"OK","Gap: look here first" ))</f>
        <v>OK</v>
      </c>
    </row>
    <row r="25" customFormat="false" ht="15" hidden="false" customHeight="false" outlineLevel="0" collapsed="false">
      <c r="A25" s="0" t="s">
        <v>114</v>
      </c>
      <c r="B25" s="7" t="n">
        <v>46578.6880223436</v>
      </c>
      <c r="C25" s="8" t="n">
        <f aca="false">'4 Claude model'!B32</f>
        <v>46578.6880223436</v>
      </c>
      <c r="D25" s="9" t="n">
        <f aca="false">IF(C25="","",C25/B25-1)</f>
        <v>0</v>
      </c>
      <c r="E25" s="0" t="str">
        <f aca="false">IF(C25="","",IF(ABS(D25)&lt;=0.005,"OK","Gap: look here first" ))</f>
        <v>OK</v>
      </c>
    </row>
    <row r="26" customFormat="false" ht="15" hidden="false" customHeight="false" outlineLevel="0" collapsed="false">
      <c r="A26" s="0" t="s">
        <v>115</v>
      </c>
      <c r="B26" s="7" t="n">
        <v>47851.0096314929</v>
      </c>
      <c r="C26" s="8" t="n">
        <f aca="false">'4 Claude model'!B33</f>
        <v>47851.0096314929</v>
      </c>
      <c r="D26" s="9" t="n">
        <f aca="false">IF(C26="","",C26/B26-1)</f>
        <v>0</v>
      </c>
      <c r="E26" s="0" t="str">
        <f aca="false">IF(C26="","",IF(ABS(D26)&lt;=0.005,"OK","Gap: look here first" ))</f>
        <v>OK</v>
      </c>
    </row>
    <row r="27" customFormat="false" ht="15" hidden="false" customHeight="false" outlineLevel="0" collapsed="false">
      <c r="A27" s="0" t="s">
        <v>116</v>
      </c>
      <c r="B27" s="11" t="n">
        <v>21.5351078449563</v>
      </c>
      <c r="C27" s="12" t="n">
        <f aca="false">'4 Claude model'!B34</f>
        <v>21.5351078449563</v>
      </c>
      <c r="D27" s="9" t="n">
        <f aca="false">IF(C27="","",C27/B27-1)</f>
        <v>0</v>
      </c>
      <c r="E27" s="0" t="str">
        <f aca="false">IF(C27="","",IF(ABS(D27)&lt;=0.005,"OK","Gap: look here first" ))</f>
        <v>OK</v>
      </c>
    </row>
    <row r="28" customFormat="false" ht="15" hidden="false" customHeight="false" outlineLevel="0" collapsed="false">
      <c r="A28" s="13" t="s">
        <v>117</v>
      </c>
      <c r="B28" s="14" t="n">
        <v>1627.25614666437</v>
      </c>
      <c r="C28" s="15" t="n">
        <f aca="false">'4 Claude model'!B35</f>
        <v>1627.25614666437</v>
      </c>
      <c r="D28" s="16" t="n">
        <f aca="false">IF(C28="","",C28/B28-1)</f>
        <v>0</v>
      </c>
      <c r="E28" s="13" t="str">
        <f aca="false">IF(C28="","",IF(ABS(D28)&lt;=0.02,"OK","Gap: look here first" ))</f>
        <v>OK</v>
      </c>
    </row>
    <row r="30" customFormat="false" ht="28.35" hidden="false" customHeight="false" outlineLevel="0" collapsed="false">
      <c r="A30" s="2" t="s">
        <v>118</v>
      </c>
    </row>
    <row r="31" customFormat="false" ht="41.75" hidden="false" customHeight="false" outlineLevel="0" collapsed="false">
      <c r="A31" s="2" t="s">
        <v>119</v>
      </c>
    </row>
  </sheetData>
  <conditionalFormatting sqref="E2:E28">
    <cfRule type="expression" priority="2" aboveAverage="0" equalAverage="0" bottom="0" percent="0" rank="0" text="" dxfId="0">
      <formula>LEFT(E2,3)="Gap"</formula>
    </cfRule>
    <cfRule type="expression" priority="3" aboveAverage="0" equalAverage="0" bottom="0" percent="0" rank="0" text="" dxfId="1">
      <formula>E2="OK"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8" min="2" style="0" width="12"/>
  </cols>
  <sheetData>
    <row r="1" customFormat="false" ht="15" hidden="false" customHeight="false" outlineLevel="0" collapsed="false">
      <c r="A1" s="13" t="s">
        <v>120</v>
      </c>
    </row>
    <row r="2" customFormat="false" ht="15" hidden="false" customHeight="false" outlineLevel="0" collapsed="false">
      <c r="A2" s="0" t="s">
        <v>121</v>
      </c>
    </row>
    <row r="4" customFormat="false" ht="15" hidden="false" customHeight="false" outlineLevel="0" collapsed="false">
      <c r="A4" s="13"/>
      <c r="B4" s="13" t="s">
        <v>122</v>
      </c>
      <c r="C4" s="13" t="s">
        <v>123</v>
      </c>
      <c r="D4" s="13" t="s">
        <v>124</v>
      </c>
      <c r="E4" s="13" t="s">
        <v>125</v>
      </c>
      <c r="F4" s="13" t="s">
        <v>126</v>
      </c>
      <c r="G4" s="13" t="s">
        <v>127</v>
      </c>
      <c r="H4" s="13" t="s">
        <v>128</v>
      </c>
    </row>
    <row r="5" customFormat="false" ht="15" hidden="false" customHeight="false" outlineLevel="0" collapsed="false">
      <c r="A5" s="0" t="s">
        <v>129</v>
      </c>
      <c r="B5" s="17"/>
      <c r="C5" s="18" t="n">
        <v>0</v>
      </c>
      <c r="D5" s="18" t="n">
        <v>0.015</v>
      </c>
      <c r="E5" s="18" t="n">
        <v>0.025</v>
      </c>
      <c r="F5" s="18" t="n">
        <v>0.03</v>
      </c>
      <c r="G5" s="18" t="n">
        <v>0.03</v>
      </c>
      <c r="H5" s="6" t="n">
        <f aca="false">'2 Inputs'!$B$15</f>
        <v>0.02</v>
      </c>
    </row>
    <row r="6" customFormat="false" ht="15" hidden="false" customHeight="false" outlineLevel="0" collapsed="false">
      <c r="A6" s="0" t="s">
        <v>130</v>
      </c>
      <c r="B6" s="17" t="n">
        <f aca="false">'2 Inputs'!$B$2</f>
        <v>18505.5</v>
      </c>
      <c r="C6" s="17" t="n">
        <f aca="false">B6*(1+C5)</f>
        <v>18505.5</v>
      </c>
      <c r="D6" s="17" t="n">
        <f aca="false">C6*(1+D5)</f>
        <v>18783.0825</v>
      </c>
      <c r="E6" s="17" t="n">
        <f aca="false">D6*(1+E5)</f>
        <v>19252.6595625</v>
      </c>
      <c r="F6" s="17" t="n">
        <f aca="false">E6*(1+F5)</f>
        <v>19830.239349375</v>
      </c>
      <c r="G6" s="17" t="n">
        <f aca="false">F6*(1+G5)</f>
        <v>20425.1465298562</v>
      </c>
      <c r="H6" s="17" t="n">
        <f aca="false">G6*(1+H5)</f>
        <v>20833.6494604534</v>
      </c>
    </row>
    <row r="7" customFormat="false" ht="15" hidden="false" customHeight="false" outlineLevel="0" collapsed="false">
      <c r="A7" s="0" t="s">
        <v>131</v>
      </c>
      <c r="B7" s="17"/>
      <c r="C7" s="19" t="n">
        <v>377.5</v>
      </c>
      <c r="D7" s="19" t="n">
        <v>962.5</v>
      </c>
      <c r="E7" s="19" t="n">
        <v>1000</v>
      </c>
      <c r="F7" s="19" t="n">
        <v>1000</v>
      </c>
      <c r="G7" s="19" t="n">
        <v>1000</v>
      </c>
      <c r="H7" s="17"/>
    </row>
    <row r="8" customFormat="false" ht="15" hidden="false" customHeight="false" outlineLevel="0" collapsed="false">
      <c r="A8" s="0" t="s">
        <v>132</v>
      </c>
      <c r="B8" s="17"/>
      <c r="C8" s="17" t="n">
        <f aca="false">C7*'2 Inputs'!$B$9</f>
        <v>173.65</v>
      </c>
      <c r="D8" s="17" t="n">
        <f aca="false">D7*'2 Inputs'!$B$9</f>
        <v>442.75</v>
      </c>
      <c r="E8" s="17" t="n">
        <f aca="false">E7*'2 Inputs'!$B$9</f>
        <v>460</v>
      </c>
      <c r="F8" s="17" t="n">
        <f aca="false">F7*'2 Inputs'!$B$9</f>
        <v>460</v>
      </c>
      <c r="G8" s="17" t="n">
        <f aca="false">G7*'2 Inputs'!$B$9</f>
        <v>460</v>
      </c>
      <c r="H8" s="17"/>
    </row>
    <row r="9" customFormat="false" ht="15" hidden="false" customHeight="false" outlineLevel="0" collapsed="false">
      <c r="A9" s="0" t="s">
        <v>133</v>
      </c>
      <c r="B9" s="17"/>
      <c r="C9" s="17" t="n">
        <f aca="false">C6*'2 Inputs'!$B$3+C8</f>
        <v>5606.49469</v>
      </c>
      <c r="D9" s="17" t="n">
        <f aca="false">D6*'2 Inputs'!$B$3+D8</f>
        <v>5957.08736035</v>
      </c>
      <c r="E9" s="17" t="n">
        <f aca="false">E6*'2 Inputs'!$B$3+E8</f>
        <v>6112.19579435875</v>
      </c>
      <c r="F9" s="17" t="n">
        <f aca="false">F6*'2 Inputs'!$B$3+F8</f>
        <v>6281.76166818951</v>
      </c>
      <c r="G9" s="17" t="n">
        <f aca="false">G6*'2 Inputs'!$B$3+G8</f>
        <v>6456.4145182352</v>
      </c>
      <c r="H9" s="17"/>
    </row>
    <row r="10" customFormat="false" ht="15" hidden="false" customHeight="false" outlineLevel="0" collapsed="false">
      <c r="A10" s="0" t="s">
        <v>134</v>
      </c>
      <c r="B10" s="17"/>
      <c r="C10" s="17" t="n">
        <f aca="false">C9*'2 Inputs'!$B$4</f>
        <v>1362.37820967</v>
      </c>
      <c r="D10" s="17" t="n">
        <f aca="false">D9*'2 Inputs'!$B$4</f>
        <v>1447.57222856505</v>
      </c>
      <c r="E10" s="17" t="n">
        <f aca="false">E9*'2 Inputs'!$B$4</f>
        <v>1485.26357802918</v>
      </c>
      <c r="F10" s="17" t="n">
        <f aca="false">F9*'2 Inputs'!$B$4</f>
        <v>1526.46808537005</v>
      </c>
      <c r="G10" s="17" t="n">
        <f aca="false">G9*'2 Inputs'!$B$4</f>
        <v>1568.90872793115</v>
      </c>
      <c r="H10" s="17"/>
    </row>
    <row r="11" customFormat="false" ht="15" hidden="false" customHeight="false" outlineLevel="0" collapsed="false">
      <c r="A11" s="0" t="s">
        <v>135</v>
      </c>
      <c r="B11" s="17"/>
      <c r="C11" s="17" t="n">
        <f aca="false">C9-C10</f>
        <v>4244.11648033</v>
      </c>
      <c r="D11" s="17" t="n">
        <f aca="false">D9-D10</f>
        <v>4509.51513178495</v>
      </c>
      <c r="E11" s="17" t="n">
        <f aca="false">E9-E10</f>
        <v>4626.93221632957</v>
      </c>
      <c r="F11" s="17" t="n">
        <f aca="false">F9-F10</f>
        <v>4755.29358281946</v>
      </c>
      <c r="G11" s="17" t="n">
        <f aca="false">G9-G10</f>
        <v>4887.50579030404</v>
      </c>
      <c r="H11" s="17" t="n">
        <f aca="false">G11*(1+H5)</f>
        <v>4985.25590611013</v>
      </c>
    </row>
    <row r="12" customFormat="false" ht="15" hidden="false" customHeight="false" outlineLevel="0" collapsed="false">
      <c r="A12" s="0" t="s">
        <v>136</v>
      </c>
      <c r="B12" s="17"/>
      <c r="C12" s="17" t="n">
        <f aca="false">C6*'2 Inputs'!$B$5</f>
        <v>624.930735</v>
      </c>
      <c r="D12" s="17" t="n">
        <f aca="false">D6*'2 Inputs'!$B$5</f>
        <v>634.304696025</v>
      </c>
      <c r="E12" s="17" t="n">
        <f aca="false">E6*'2 Inputs'!$B$5</f>
        <v>650.162313425625</v>
      </c>
      <c r="F12" s="17" t="n">
        <f aca="false">F6*'2 Inputs'!$B$5</f>
        <v>669.667182828394</v>
      </c>
      <c r="G12" s="17" t="n">
        <f aca="false">G6*'2 Inputs'!$B$5</f>
        <v>689.757198313246</v>
      </c>
      <c r="H12" s="17" t="n">
        <f aca="false">H6*'2 Inputs'!$B$5</f>
        <v>703.55234227951</v>
      </c>
    </row>
    <row r="13" customFormat="false" ht="15" hidden="false" customHeight="false" outlineLevel="0" collapsed="false">
      <c r="A13" s="0" t="s">
        <v>137</v>
      </c>
      <c r="B13" s="17"/>
      <c r="C13" s="17" t="n">
        <f aca="false">C6*'2 Inputs'!$B$6</f>
        <v>1315.00083</v>
      </c>
      <c r="D13" s="17" t="n">
        <f aca="false">D6*'2 Inputs'!$B$6</f>
        <v>1334.72584245</v>
      </c>
      <c r="E13" s="17" t="n">
        <f aca="false">E6*'2 Inputs'!$B$6</f>
        <v>1368.09398851125</v>
      </c>
      <c r="F13" s="17" t="n">
        <f aca="false">F6*'2 Inputs'!$B$6</f>
        <v>1409.13680816659</v>
      </c>
      <c r="G13" s="17" t="n">
        <f aca="false">G6*'2 Inputs'!$B$6</f>
        <v>1451.41091241158</v>
      </c>
      <c r="H13" s="17" t="n">
        <f aca="false">H20</f>
        <v>1294.12132676641</v>
      </c>
    </row>
    <row r="14" customFormat="false" ht="15" hidden="false" customHeight="false" outlineLevel="0" collapsed="false">
      <c r="A14" s="0" t="s">
        <v>138</v>
      </c>
      <c r="B14" s="17"/>
      <c r="C14" s="17" t="n">
        <f aca="false">(C6-B6)*'2 Inputs'!$B$8</f>
        <v>0</v>
      </c>
      <c r="D14" s="17" t="n">
        <f aca="false">(D6-C6)*'2 Inputs'!$B$8</f>
        <v>104.304400199999</v>
      </c>
      <c r="E14" s="17" t="n">
        <f aca="false">(E6-D6)*'2 Inputs'!$B$8</f>
        <v>176.448277004999</v>
      </c>
      <c r="F14" s="17" t="n">
        <f aca="false">(F6-E6)*'2 Inputs'!$B$8</f>
        <v>217.031380716151</v>
      </c>
      <c r="G14" s="17" t="n">
        <f aca="false">(G6-F6)*'2 Inputs'!$B$8</f>
        <v>223.542322137635</v>
      </c>
      <c r="H14" s="17" t="n">
        <f aca="false">(H6-G6)*'2 Inputs'!$B$8</f>
        <v>153.499061201176</v>
      </c>
    </row>
    <row r="15" customFormat="false" ht="15" hidden="false" customHeight="false" outlineLevel="0" collapsed="false">
      <c r="A15" s="0" t="s">
        <v>139</v>
      </c>
      <c r="B15" s="17"/>
      <c r="C15" s="17" t="n">
        <f aca="false">C11+C12-C13-C14</f>
        <v>3554.04638533</v>
      </c>
      <c r="D15" s="17" t="n">
        <f aca="false">D11+D12-D13-D14</f>
        <v>3704.78958515995</v>
      </c>
      <c r="E15" s="17" t="n">
        <f aca="false">E11+E12-E13-E14</f>
        <v>3732.55226423895</v>
      </c>
      <c r="F15" s="17" t="n">
        <f aca="false">F11+F12-F13-F14</f>
        <v>3798.79257676512</v>
      </c>
      <c r="G15" s="17" t="n">
        <f aca="false">G11+G12-G13-G14</f>
        <v>3902.30975406807</v>
      </c>
      <c r="H15" s="17" t="n">
        <f aca="false">H11+H12-H13-H14</f>
        <v>4241.18786042205</v>
      </c>
    </row>
    <row r="16" customFormat="false" ht="15" hidden="false" customHeight="false" outlineLevel="0" collapsed="false">
      <c r="A16" s="0" t="s">
        <v>140</v>
      </c>
      <c r="C16" s="7" t="n">
        <v>0.5</v>
      </c>
      <c r="D16" s="7" t="n">
        <v>1.5</v>
      </c>
      <c r="E16" s="7" t="n">
        <v>2.5</v>
      </c>
      <c r="F16" s="7" t="n">
        <v>3.5</v>
      </c>
      <c r="G16" s="7" t="n">
        <v>4.5</v>
      </c>
    </row>
    <row r="17" customFormat="false" ht="15" hidden="false" customHeight="false" outlineLevel="0" collapsed="false">
      <c r="A17" s="0" t="s">
        <v>141</v>
      </c>
      <c r="B17" s="17"/>
      <c r="C17" s="20" t="n">
        <f aca="false">1/(1+$B$25)^C16</f>
        <v>0.960211942702393</v>
      </c>
      <c r="D17" s="20" t="n">
        <f aca="false">1/(1+$B$25)^D16</f>
        <v>0.885322108561859</v>
      </c>
      <c r="E17" s="20" t="n">
        <f aca="false">1/(1+$B$25)^E16</f>
        <v>0.816273159134561</v>
      </c>
      <c r="F17" s="20" t="n">
        <f aca="false">1/(1+$B$25)^F16</f>
        <v>0.752609546152501</v>
      </c>
      <c r="G17" s="20" t="n">
        <f aca="false">1/(1+$B$25)^G16</f>
        <v>0.693911250935179</v>
      </c>
      <c r="H17" s="17"/>
    </row>
    <row r="18" customFormat="false" ht="15" hidden="false" customHeight="false" outlineLevel="0" collapsed="false">
      <c r="A18" s="0" t="s">
        <v>142</v>
      </c>
      <c r="B18" s="17"/>
      <c r="C18" s="17" t="n">
        <f aca="false">C15*C17</f>
        <v>3412.63778411214</v>
      </c>
      <c r="D18" s="17" t="n">
        <f aca="false">D15*D17</f>
        <v>3279.93212731182</v>
      </c>
      <c r="E18" s="17" t="n">
        <f aca="false">E15*E17</f>
        <v>3046.78222836519</v>
      </c>
      <c r="F18" s="17" t="n">
        <f aca="false">F15*F17</f>
        <v>2859.00755712668</v>
      </c>
      <c r="G18" s="17" t="n">
        <f aca="false">G15*G17</f>
        <v>2707.85664298193</v>
      </c>
      <c r="H18" s="17"/>
    </row>
    <row r="19" customFormat="false" ht="15" hidden="false" customHeight="false" outlineLevel="0" collapsed="false">
      <c r="A19" s="0" t="s">
        <v>143</v>
      </c>
      <c r="B19" s="17"/>
      <c r="C19" s="17"/>
      <c r="D19" s="17"/>
      <c r="E19" s="17"/>
      <c r="F19" s="17"/>
      <c r="G19" s="17"/>
      <c r="H19" s="17" t="n">
        <f aca="false">H5/'2 Inputs'!$B$27*H11</f>
        <v>744.068045688078</v>
      </c>
    </row>
    <row r="20" customFormat="false" ht="15" hidden="false" customHeight="false" outlineLevel="0" collapsed="false">
      <c r="A20" s="0" t="s">
        <v>144</v>
      </c>
      <c r="B20" s="17"/>
      <c r="C20" s="17"/>
      <c r="D20" s="17"/>
      <c r="E20" s="17"/>
      <c r="F20" s="17"/>
      <c r="G20" s="17"/>
      <c r="H20" s="17" t="n">
        <f aca="false">H12+H19-H14</f>
        <v>1294.12132676641</v>
      </c>
    </row>
    <row r="21" customFormat="false" ht="15" hidden="false" customHeight="false" outlineLevel="0" collapsed="false">
      <c r="A21" s="0" t="s">
        <v>145</v>
      </c>
      <c r="B21" s="17"/>
      <c r="C21" s="17"/>
      <c r="D21" s="17"/>
      <c r="E21" s="17"/>
      <c r="F21" s="17"/>
      <c r="G21" s="21" t="n">
        <f aca="false">'2 Inputs'!$B$7</f>
        <v>0.0621168811169126</v>
      </c>
      <c r="H21" s="21" t="n">
        <f aca="false">H20/H6</f>
        <v>0.0621168811169126</v>
      </c>
    </row>
    <row r="23" customFormat="false" ht="15" hidden="false" customHeight="false" outlineLevel="0" collapsed="false">
      <c r="A23" s="0" t="s">
        <v>146</v>
      </c>
      <c r="B23" s="4" t="n">
        <f aca="false">'2 Inputs'!$B$10+'2 Inputs'!$B$12*'2 Inputs'!$B$11</f>
        <v>0.100205</v>
      </c>
    </row>
    <row r="24" customFormat="false" ht="15" hidden="false" customHeight="false" outlineLevel="0" collapsed="false">
      <c r="A24" s="0" t="s">
        <v>147</v>
      </c>
      <c r="B24" s="4" t="n">
        <f aca="false">'2 Inputs'!$B$13*(1-'2 Inputs'!$B$4)</f>
        <v>0.0470854</v>
      </c>
    </row>
    <row r="25" customFormat="false" ht="15" hidden="false" customHeight="false" outlineLevel="0" collapsed="false">
      <c r="A25" s="0" t="s">
        <v>148</v>
      </c>
      <c r="B25" s="4" t="n">
        <f aca="false">(1-'2 Inputs'!$B$14)*B23+'2 Inputs'!$B$14*B24</f>
        <v>0.08459049358</v>
      </c>
    </row>
    <row r="26" customFormat="false" ht="15" hidden="false" customHeight="false" outlineLevel="0" collapsed="false">
      <c r="A26" s="0" t="s">
        <v>149</v>
      </c>
      <c r="B26" s="4" t="n">
        <f aca="false">'2 Inputs'!$B$17/('2 Inputs'!$B$17+'2 Inputs'!$B$22*'2 Inputs'!$B$24/100*'2 Inputs'!$B$23)</f>
        <v>0.293951542985465</v>
      </c>
    </row>
    <row r="27" customFormat="false" ht="15" hidden="false" customHeight="false" outlineLevel="0" collapsed="false">
      <c r="A27" s="0" t="s">
        <v>150</v>
      </c>
      <c r="B27" s="17" t="n">
        <f aca="false">SUM(C18:G18)</f>
        <v>15306.2163398978</v>
      </c>
    </row>
    <row r="28" customFormat="false" ht="15" hidden="false" customHeight="false" outlineLevel="0" collapsed="false">
      <c r="A28" s="0" t="s">
        <v>151</v>
      </c>
      <c r="B28" s="17" t="n">
        <f aca="false">H15/(B25-H5)</f>
        <v>65662.7256636308</v>
      </c>
    </row>
    <row r="29" customFormat="false" ht="15" hidden="false" customHeight="false" outlineLevel="0" collapsed="false">
      <c r="A29" s="0" t="s">
        <v>152</v>
      </c>
      <c r="B29" s="17" t="n">
        <f aca="false">B28/(1+B25)^4.5</f>
        <v>45564.1041050635</v>
      </c>
    </row>
    <row r="30" customFormat="false" ht="15" hidden="false" customHeight="false" outlineLevel="0" collapsed="false">
      <c r="A30" s="0" t="s">
        <v>112</v>
      </c>
      <c r="B30" s="17" t="n">
        <f aca="false">B27+B29</f>
        <v>60870.3204449613</v>
      </c>
    </row>
    <row r="31" customFormat="false" ht="15" hidden="false" customHeight="false" outlineLevel="0" collapsed="false">
      <c r="A31" s="0" t="s">
        <v>153</v>
      </c>
      <c r="B31" s="17" t="n">
        <f aca="false">'2 Inputs'!$B$18*B30</f>
        <v>1561.93242261771</v>
      </c>
    </row>
    <row r="32" customFormat="false" ht="15" hidden="false" customHeight="false" outlineLevel="0" collapsed="false">
      <c r="A32" s="0" t="s">
        <v>154</v>
      </c>
      <c r="B32" s="17" t="n">
        <f aca="false">B30-'2 Inputs'!$B$17-B31-'2 Inputs'!$B$21+'2 Inputs'!$B$19+'2 Inputs'!$B$20</f>
        <v>46578.6880223436</v>
      </c>
    </row>
    <row r="33" customFormat="false" ht="15" hidden="false" customHeight="false" outlineLevel="0" collapsed="false">
      <c r="A33" s="0" t="s">
        <v>155</v>
      </c>
      <c r="B33" s="17" t="n">
        <f aca="false">B32*(1+B23)^'2 Inputs'!$B$16</f>
        <v>47851.0096314929</v>
      </c>
    </row>
    <row r="34" customFormat="false" ht="15" hidden="false" customHeight="false" outlineLevel="0" collapsed="false">
      <c r="A34" s="0" t="s">
        <v>116</v>
      </c>
      <c r="B34" s="11" t="n">
        <f aca="false">B33/'2 Inputs'!$B$22</f>
        <v>21.5351078449563</v>
      </c>
    </row>
    <row r="35" customFormat="false" ht="15" hidden="false" customHeight="false" outlineLevel="0" collapsed="false">
      <c r="A35" s="13" t="s">
        <v>156</v>
      </c>
      <c r="B35" s="22" t="n">
        <f aca="false">B34/'2 Inputs'!$B$23*100</f>
        <v>1627.25614666437</v>
      </c>
    </row>
    <row r="36" customFormat="false" ht="15" hidden="false" customHeight="false" outlineLevel="0" collapsed="false">
      <c r="A36" s="0" t="s">
        <v>157</v>
      </c>
      <c r="B36" s="6" t="n">
        <f aca="false">B35/'2 Inputs'!$B$24-1</f>
        <v>-0.027342410840184</v>
      </c>
    </row>
    <row r="37" customFormat="false" ht="15" hidden="false" customHeight="false" outlineLevel="0" collapsed="false">
      <c r="A37" s="13" t="s">
        <v>158</v>
      </c>
      <c r="B37" s="13" t="str">
        <f aca="false">IF(B36&gt;=0.15,"BUY",IF(B36&lt;=-0.1,"SELL","HOLD"))</f>
        <v>HOLD</v>
      </c>
    </row>
    <row r="38" customFormat="false" ht="15" hidden="false" customHeight="false" outlineLevel="0" collapsed="false">
      <c r="A38" s="0" t="s">
        <v>159</v>
      </c>
      <c r="B38" s="17" t="n">
        <f aca="false">((((C15/(1+B25)^1+D15/(1+B25)^2+E15/(1+B25)^3+F15/(1+B25)^4+G15/(1+B25)^5+B28/(1+B25)^5))*(1-'2 Inputs'!$B$18)-'2 Inputs'!$B$17-'2 Inputs'!$B$21+'2 Inputs'!$B$19+'2 Inputs'!$B$20)*(1+B23)^'2 Inputs'!$B$16/'2 Inputs'!$B$22/'2 Inputs'!$B$23*100)</f>
        <v>1544.81623381814</v>
      </c>
    </row>
    <row r="39" customFormat="false" ht="15" hidden="false" customHeight="false" outlineLevel="0" collapsed="false">
      <c r="A39" s="0" t="s">
        <v>160</v>
      </c>
      <c r="B39" s="6" t="n">
        <f aca="false">B29/B30</f>
        <v>0.748543851453229</v>
      </c>
    </row>
    <row r="40" customFormat="false" ht="15" hidden="false" customHeight="false" outlineLevel="0" collapsed="false">
      <c r="A40" s="0" t="s">
        <v>161</v>
      </c>
      <c r="B40" s="23" t="n">
        <f aca="false">B28/(G9+G12)</f>
        <v>9.18851775022074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2026-10-13T11:09:40Z</dcterms:created>
  <dc:creator>openpyxl</dc:creator>
  <dc:description/>
  <dc:language>en-US</dc:language>
  <cp:lastModifiedBy/>
  <dcterms:modified xsi:type="dcterms:W3CDTF">2026-10-13T12:30:46Z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